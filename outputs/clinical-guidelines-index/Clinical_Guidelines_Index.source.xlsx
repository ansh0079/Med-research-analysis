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66CC"/>
      <sz val="10"/>
      <u val="single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35" customWidth="1" min="3" max="3"/>
    <col width="30" customWidth="1" min="4" max="4"/>
  </cols>
  <sheetData>
    <row r="1" ht="28" customHeight="1">
      <c r="A1" s="1" t="inlineStr">
        <is>
          <t>ID</t>
        </is>
      </c>
      <c r="B1" s="1" t="inlineStr">
        <is>
          <t>Medical Topic</t>
        </is>
      </c>
      <c r="C1" s="1" t="inlineStr">
        <is>
          <t>Clinical Specialty / Category</t>
        </is>
      </c>
      <c r="D1" s="1" t="inlineStr">
        <is>
          <t>Search Guideline Link</t>
        </is>
      </c>
    </row>
    <row r="2" ht="20" customHeight="1">
      <c r="A2" s="2" t="n">
        <v>1</v>
      </c>
      <c r="B2" s="3" t="inlineStr">
        <is>
          <t>Acute and chronic pain assessment and opioid safety</t>
        </is>
      </c>
      <c r="C2" s="4" t="inlineStr">
        <is>
          <t>Pain Management &amp; Opioids</t>
        </is>
      </c>
      <c r="D2" s="5">
        <f>HYPERLINK("https://www.google.com/search?q=Acute%20and%20chronic%20pain%20assessment%20and%20opioid%20safety%20clinical%20practice%20guideline%20pathyway", "Launch Live Guideline Search ↗")</f>
        <v/>
      </c>
    </row>
    <row r="3" ht="20" customHeight="1">
      <c r="A3" s="6" t="n">
        <v>2</v>
      </c>
      <c r="B3" s="7" t="inlineStr">
        <is>
          <t>Community acquired pneumonia</t>
        </is>
      </c>
      <c r="C3" s="8" t="inlineStr">
        <is>
          <t>Infectious Diseases</t>
        </is>
      </c>
      <c r="D3" s="9">
        <f>HYPERLINK("https://www.google.com/search?q=Community%20acquired%20pneumonia%20clinical%20practice%20guideline%20pathyway", "Launch Live Guideline Search ↗")</f>
        <v/>
      </c>
    </row>
    <row r="4" ht="20" customHeight="1">
      <c r="A4" s="2" t="n">
        <v>3</v>
      </c>
      <c r="B4" s="3" t="inlineStr">
        <is>
          <t>Community acquired pneumonia diagnosis empiric antibiotic management guideline adult</t>
        </is>
      </c>
      <c r="C4" s="4" t="inlineStr">
        <is>
          <t>Infectious Diseases</t>
        </is>
      </c>
      <c r="D4" s="5">
        <f>HYPERLINK("https://www.google.com/search?q=Community%20acquired%20pneumonia%20diagnosis%20empiric%20antibiotic%20management%20guideline%20adult%20clinical%20practice%20guideline%20pathyway", "Launch Live Guideline Search ↗")</f>
        <v/>
      </c>
    </row>
    <row r="5" ht="20" customHeight="1">
      <c r="A5" s="6" t="n">
        <v>4</v>
      </c>
      <c r="B5" s="7" t="inlineStr">
        <is>
          <t>Hypersensitivity pneumonitis diagnosis and antigen avoidance</t>
        </is>
      </c>
      <c r="C5" s="8" t="inlineStr">
        <is>
          <t>Respiratory Medicine</t>
        </is>
      </c>
      <c r="D5" s="9">
        <f>HYPERLINK("https://www.google.com/search?q=Hypersensitivity%20pneumonitis%20diagnosis%20and%20antigen%20avoidance%20clinical%20practice%20guideline%20pathyway", "Launch Live Guideline Search ↗")</f>
        <v/>
      </c>
    </row>
    <row r="6" ht="20" customHeight="1">
      <c r="A6" s="2" t="n">
        <v>5</v>
      </c>
      <c r="B6" s="3" t="inlineStr">
        <is>
          <t>Large bowel obstruction, volvulus, and pseudo-obstruction management</t>
        </is>
      </c>
      <c r="C6" s="4" t="inlineStr">
        <is>
          <t>Gastroenterology &amp; General Surgery</t>
        </is>
      </c>
      <c r="D6" s="5">
        <f>HYPERLINK("https://www.google.com/search?q=Large%20bowel%20obstruction%2C%20volvulus%2C%20and%20pseudo-obstruction%20management%20clinical%20practice%20guideline%20pathyway", "Launch Live Guideline Search ↗")</f>
        <v/>
      </c>
    </row>
    <row r="7" ht="20" customHeight="1">
      <c r="A7" s="6" t="n">
        <v>6</v>
      </c>
      <c r="B7" s="7" t="inlineStr">
        <is>
          <t>Peripheral arterial disease and claudication</t>
        </is>
      </c>
      <c r="C7" s="8" t="inlineStr">
        <is>
          <t>Cardiovascular Medicine</t>
        </is>
      </c>
      <c r="D7" s="9">
        <f>HYPERLINK("https://www.google.com/search?q=Peripheral%20arterial%20disease%20and%20claudication%20clinical%20practice%20guideline%20pathyway", "Launch Live Guideline Search ↗")</f>
        <v/>
      </c>
    </row>
    <row r="8" ht="20" customHeight="1">
      <c r="A8" s="2" t="n">
        <v>7</v>
      </c>
      <c r="B8" s="3" t="inlineStr">
        <is>
          <t>Pneumonia</t>
        </is>
      </c>
      <c r="C8" s="4" t="inlineStr">
        <is>
          <t>Infectious Diseases</t>
        </is>
      </c>
      <c r="D8" s="5">
        <f>HYPERLINK("https://www.google.com/search?q=Pneumonia%20clinical%20practice%20guideline%20pathyway", "Launch Live Guideline Search ↗")</f>
        <v/>
      </c>
    </row>
    <row r="9" ht="20" customHeight="1">
      <c r="A9" s="6" t="n">
        <v>8</v>
      </c>
      <c r="B9" s="7" t="inlineStr">
        <is>
          <t>Achalasia endoscopic and surgical therapy</t>
        </is>
      </c>
      <c r="C9" s="8" t="inlineStr">
        <is>
          <t>Gastroenterology &amp; General Surgery</t>
        </is>
      </c>
      <c r="D9" s="9">
        <f>HYPERLINK("https://www.google.com/search?q=Achalasia%20endoscopic%20and%20surgical%20therapy%20clinical%20practice%20guideline%20pathyway", "Launch Live Guideline Search ↗")</f>
        <v/>
      </c>
    </row>
    <row r="10" ht="20" customHeight="1">
      <c r="A10" s="2" t="n">
        <v>9</v>
      </c>
      <c r="B10" s="3" t="inlineStr">
        <is>
          <t>Acromegaly somatostatin analog therapy</t>
        </is>
      </c>
      <c r="C10" s="4" t="inlineStr">
        <is>
          <t>Endocrinology &amp; Metabolism</t>
        </is>
      </c>
      <c r="D10" s="5">
        <f>HYPERLINK("https://www.google.com/search?q=Acromegaly%20somatostatin%20analog%20therapy%20clinical%20practice%20guideline%20pathyway", "Launch Live Guideline Search ↗")</f>
        <v/>
      </c>
    </row>
    <row r="11" ht="20" customHeight="1">
      <c r="A11" s="6" t="n">
        <v>10</v>
      </c>
      <c r="B11" s="7" t="inlineStr">
        <is>
          <t>Acute abdomen and common surgical emergencies</t>
        </is>
      </c>
      <c r="C11" s="8" t="inlineStr">
        <is>
          <t>Gastroenterology &amp; General Surgery</t>
        </is>
      </c>
      <c r="D11" s="9">
        <f>HYPERLINK("https://www.google.com/search?q=Acute%20abdomen%20and%20common%20surgical%20emergencies%20clinical%20practice%20guideline%20pathyway", "Launch Live Guideline Search ↗")</f>
        <v/>
      </c>
    </row>
    <row r="12" ht="20" customHeight="1">
      <c r="A12" s="2" t="n">
        <v>11</v>
      </c>
      <c r="B12" s="3" t="inlineStr">
        <is>
          <t>Acute bacterial meningitis adjunctive dexamethasone</t>
        </is>
      </c>
      <c r="C12" s="4" t="inlineStr">
        <is>
          <t>Infectious Diseases</t>
        </is>
      </c>
      <c r="D12" s="5">
        <f>HYPERLINK("https://www.google.com/search?q=Acute%20bacterial%20meningitis%20adjunctive%20dexamethasone%20clinical%20practice%20guideline%20pathyway", "Launch Live Guideline Search ↗")</f>
        <v/>
      </c>
    </row>
    <row r="13" ht="20" customHeight="1">
      <c r="A13" s="6" t="n">
        <v>12</v>
      </c>
      <c r="B13" s="7" t="inlineStr">
        <is>
          <t>Acute bacterial meningitis empiric therapy and dexamethasone</t>
        </is>
      </c>
      <c r="C13" s="8" t="inlineStr">
        <is>
          <t>Infectious Diseases</t>
        </is>
      </c>
      <c r="D13" s="9">
        <f>HYPERLINK("https://www.google.com/search?q=Acute%20bacterial%20meningitis%20empiric%20therapy%20and%20dexamethasone%20clinical%20practice%20guideline%20pathyway", "Launch Live Guideline Search ↗")</f>
        <v/>
      </c>
    </row>
    <row r="14" ht="20" customHeight="1">
      <c r="A14" s="2" t="n">
        <v>13</v>
      </c>
      <c r="B14" s="3" t="inlineStr">
        <is>
          <t>Acute decompensated heart failure decongestion</t>
        </is>
      </c>
      <c r="C14" s="4" t="inlineStr">
        <is>
          <t>Cardiovascular Medicine</t>
        </is>
      </c>
      <c r="D14" s="5">
        <f>HYPERLINK("https://www.google.com/search?q=Acute%20decompensated%20heart%20failure%20decongestion%20clinical%20practice%20guideline%20pathyway", "Launch Live Guideline Search ↗")</f>
        <v/>
      </c>
    </row>
    <row r="15" ht="20" customHeight="1">
      <c r="A15" s="6" t="n">
        <v>14</v>
      </c>
      <c r="B15" s="7" t="inlineStr">
        <is>
          <t>Acute liver failure transplant referral</t>
        </is>
      </c>
      <c r="C15" s="8" t="inlineStr">
        <is>
          <t>Gastroenterology &amp; General Surgery</t>
        </is>
      </c>
      <c r="D15" s="9">
        <f>HYPERLINK("https://www.google.com/search?q=Acute%20liver%20failure%20transplant%20referral%20clinical%20practice%20guideline%20pathyway", "Launch Live Guideline Search ↗")</f>
        <v/>
      </c>
    </row>
    <row r="16" ht="20" customHeight="1">
      <c r="A16" s="2" t="n">
        <v>15</v>
      </c>
      <c r="B16" s="3" t="inlineStr">
        <is>
          <t>Acute myeloid leukemia venetoclax azacitidine</t>
        </is>
      </c>
      <c r="C16" s="4" t="inlineStr">
        <is>
          <t>Hematology &amp; Oncology</t>
        </is>
      </c>
      <c r="D16" s="5">
        <f>HYPERLINK("https://www.google.com/search?q=Acute%20myeloid%20leukemia%20venetoclax%20azacitidine%20clinical%20practice%20guideline%20pathyway", "Launch Live Guideline Search ↗")</f>
        <v/>
      </c>
    </row>
    <row r="17" ht="20" customHeight="1">
      <c r="A17" s="6" t="n">
        <v>16</v>
      </c>
      <c r="B17" s="7" t="inlineStr">
        <is>
          <t>Acute necrotising pancreatitis and step-up management approach</t>
        </is>
      </c>
      <c r="C17" s="8" t="inlineStr">
        <is>
          <t>Gastroenterology &amp; General Surgery</t>
        </is>
      </c>
      <c r="D17" s="9">
        <f>HYPERLINK("https://www.google.com/search?q=Acute%20necrotising%20pancreatitis%20and%20step-up%20management%20approach%20clinical%20practice%20guideline%20pathyway", "Launch Live Guideline Search ↗")</f>
        <v/>
      </c>
    </row>
    <row r="18" ht="20" customHeight="1">
      <c r="A18" s="2" t="n">
        <v>17</v>
      </c>
      <c r="B18" s="3" t="inlineStr">
        <is>
          <t>Acute pancreatitis fluid and nutrition strategy</t>
        </is>
      </c>
      <c r="C18" s="4" t="inlineStr">
        <is>
          <t>Gastroenterology &amp; General Surgery</t>
        </is>
      </c>
      <c r="D18" s="5">
        <f>HYPERLINK("https://www.google.com/search?q=Acute%20pancreatitis%20fluid%20and%20nutrition%20strategy%20clinical%20practice%20guideline%20pathyway", "Launch Live Guideline Search ↗")</f>
        <v/>
      </c>
    </row>
    <row r="19" ht="20" customHeight="1">
      <c r="A19" s="6" t="n">
        <v>18</v>
      </c>
      <c r="B19" s="7" t="inlineStr">
        <is>
          <t>Acute psychosis: assessment, management and antipsychotic therapy</t>
        </is>
      </c>
      <c r="C19" s="8" t="inlineStr">
        <is>
          <t>Psychiatry &amp; Mental Health</t>
        </is>
      </c>
      <c r="D19" s="9">
        <f>HYPERLINK("https://www.google.com/search?q=Acute%20psychosis%3A%20assessment%2C%20management%20and%20antipsychotic%20therapy%20clinical%20practice%20guideline%20pathyway", "Launch Live Guideline Search ↗")</f>
        <v/>
      </c>
    </row>
    <row r="20" ht="20" customHeight="1">
      <c r="A20" s="2" t="n">
        <v>19</v>
      </c>
      <c r="B20" s="3" t="inlineStr">
        <is>
          <t>Alcohol use disorder naltrexone and acamprosate</t>
        </is>
      </c>
      <c r="C20" s="4" t="inlineStr">
        <is>
          <t>Psychiatry &amp; Mental Health</t>
        </is>
      </c>
      <c r="D20" s="5">
        <f>HYPERLINK("https://www.google.com/search?q=Alcohol%20use%20disorder%20naltrexone%20and%20acamprosate%20clinical%20practice%20guideline%20pathyway", "Launch Live Guideline Search ↗")</f>
        <v/>
      </c>
    </row>
    <row r="21" ht="20" customHeight="1">
      <c r="A21" s="6" t="n">
        <v>20</v>
      </c>
      <c r="B21" s="7" t="inlineStr">
        <is>
          <t>Alcohol use disorder, Wernicke encephalopathy and alcohol-related liver disease</t>
        </is>
      </c>
      <c r="C21" s="8" t="inlineStr">
        <is>
          <t>Psychiatry &amp; Mental Health</t>
        </is>
      </c>
      <c r="D21" s="9">
        <f>HYPERLINK("https://www.google.com/search?q=Alcohol%20use%20disorder%2C%20Wernicke%20encephalopathy%20and%20alcohol-related%20liver%20disease%20clinical%20practice%20guideline%20pathyway", "Launch Live Guideline Search ↗")</f>
        <v/>
      </c>
    </row>
    <row r="22" ht="20" customHeight="1">
      <c r="A22" s="2" t="n">
        <v>21</v>
      </c>
      <c r="B22" s="3" t="inlineStr">
        <is>
          <t>Alcohol-associated hepatitis corticosteroids</t>
        </is>
      </c>
      <c r="C22" s="4" t="inlineStr">
        <is>
          <t>Gastroenterology &amp; General Surgery</t>
        </is>
      </c>
      <c r="D22" s="5">
        <f>HYPERLINK("https://www.google.com/search?q=Alcohol-associated%20hepatitis%20corticosteroids%20clinical%20practice%20guideline%20pathyway", "Launch Live Guideline Search ↗")</f>
        <v/>
      </c>
    </row>
    <row r="23" ht="20" customHeight="1">
      <c r="A23" s="6" t="n">
        <v>22</v>
      </c>
      <c r="B23" s="7" t="inlineStr">
        <is>
          <t>Alzheimer's disease anti amyloid immunotherapy</t>
        </is>
      </c>
      <c r="C23" s="8" t="inlineStr">
        <is>
          <t>Neurology &amp; Neurosurgery</t>
        </is>
      </c>
      <c r="D23" s="9">
        <f>HYPERLINK("https://www.google.com/search?q=Alzheimer%27s%20disease%20anti%20amyloid%20immunotherapy%20clinical%20practice%20guideline%20pathyway", "Launch Live Guideline Search ↗")</f>
        <v/>
      </c>
    </row>
    <row r="24" ht="20" customHeight="1">
      <c r="A24" s="2" t="n">
        <v>23</v>
      </c>
      <c r="B24" s="3" t="inlineStr">
        <is>
          <t>AML Transformed from MPN</t>
        </is>
      </c>
      <c r="C24" s="4" t="inlineStr">
        <is>
          <t>Hematology &amp; Oncology</t>
        </is>
      </c>
      <c r="D24" s="5">
        <f>HYPERLINK("https://www.google.com/search?q=AML%20Transformed%20from%20MPN%20clinical%20practice%20guideline%20pathyway", "Launch Live Guideline Search ↗")</f>
        <v/>
      </c>
    </row>
    <row r="25" ht="20" customHeight="1">
      <c r="A25" s="6" t="n">
        <v>24</v>
      </c>
      <c r="B25" s="7" t="inlineStr">
        <is>
          <t>Anaemia</t>
        </is>
      </c>
      <c r="C25" s="8" t="inlineStr">
        <is>
          <t>Hematology &amp; Oncology</t>
        </is>
      </c>
      <c r="D25" s="9">
        <f>HYPERLINK("https://www.google.com/search?q=Anaemia%20clinical%20practice%20guideline%20pathyway", "Launch Live Guideline Search ↗")</f>
        <v/>
      </c>
    </row>
    <row r="26" ht="20" customHeight="1">
      <c r="A26" s="2" t="n">
        <v>25</v>
      </c>
      <c r="B26" s="3" t="inlineStr">
        <is>
          <t>Analgesia strategies</t>
        </is>
      </c>
      <c r="C26" s="4" t="inlineStr">
        <is>
          <t>Pain Management &amp; Opioids</t>
        </is>
      </c>
      <c r="D26" s="5">
        <f>HYPERLINK("https://www.google.com/search?q=Analgesia%20strategies%20clinical%20practice%20guideline%20pathyway", "Launch Live Guideline Search ↗")</f>
        <v/>
      </c>
    </row>
    <row r="27" ht="20" customHeight="1">
      <c r="A27" s="6" t="n">
        <v>26</v>
      </c>
      <c r="B27" s="7" t="inlineStr">
        <is>
          <t>ANCA associated vasculitis renal disease</t>
        </is>
      </c>
      <c r="C27" s="8" t="inlineStr">
        <is>
          <t>Nephrology &amp; Urology</t>
        </is>
      </c>
      <c r="D27" s="9">
        <f>HYPERLINK("https://www.google.com/search?q=ANCA%20associated%20vasculitis%20renal%20disease%20clinical%20practice%20guideline%20pathyway", "Launch Live Guideline Search ↗")</f>
        <v/>
      </c>
    </row>
    <row r="28" ht="20" customHeight="1">
      <c r="A28" s="2" t="n">
        <v>27</v>
      </c>
      <c r="B28" s="3" t="inlineStr">
        <is>
          <t>Aneurysmal subarachnoid hemorrhage management</t>
        </is>
      </c>
      <c r="C28" s="4" t="inlineStr">
        <is>
          <t>Neurology &amp; Neurosurgery</t>
        </is>
      </c>
      <c r="D28" s="5">
        <f>HYPERLINK("https://www.google.com/search?q=Aneurysmal%20subarachnoid%20hemorrhage%20management%20clinical%20practice%20guideline%20pathyway", "Launch Live Guideline Search ↗")</f>
        <v/>
      </c>
    </row>
    <row r="29" ht="20" customHeight="1">
      <c r="A29" s="6" t="n">
        <v>28</v>
      </c>
      <c r="B29" s="7" t="inlineStr">
        <is>
          <t>Angiotensin ii for catecholamine refractory vasodilatory shock</t>
        </is>
      </c>
      <c r="C29" s="8" t="inlineStr">
        <is>
          <t>Critical Care &amp; Emergency Medicine</t>
        </is>
      </c>
      <c r="D29" s="9">
        <f>HYPERLINK("https://www.google.com/search?q=Angiotensin%20ii%20for%20catecholamine%20refractory%20vasodilatory%20shock%20clinical%20practice%20guideline%20pathyway", "Launch Live Guideline Search ↗")</f>
        <v/>
      </c>
    </row>
    <row r="30" ht="20" customHeight="1">
      <c r="A30" s="2" t="n">
        <v>29</v>
      </c>
      <c r="B30" s="3" t="inlineStr">
        <is>
          <t>Anti-CD20 Therapy in Rheumatology</t>
        </is>
      </c>
      <c r="C30" s="4" t="inlineStr">
        <is>
          <t>Rheumatology &amp; Immunology</t>
        </is>
      </c>
      <c r="D30" s="5">
        <f>HYPERLINK("https://www.google.com/search?q=Anti-CD20%20Therapy%20in%20Rheumatology%20clinical%20practice%20guideline%20pathyway", "Launch Live Guideline Search ↗")</f>
        <v/>
      </c>
    </row>
    <row r="31" ht="20" customHeight="1">
      <c r="A31" s="6" t="n">
        <v>30</v>
      </c>
      <c r="B31" s="7" t="inlineStr">
        <is>
          <t>Antidepressant sequential treatment steps depressed outpatients outcomes</t>
        </is>
      </c>
      <c r="C31" s="8" t="inlineStr">
        <is>
          <t>Psychiatry &amp; Mental Health</t>
        </is>
      </c>
      <c r="D31" s="9">
        <f>HYPERLINK("https://www.google.com/search?q=Antidepressant%20sequential%20treatment%20steps%20depressed%20outpatients%20outcomes%20clinical%20practice%20guideline%20pathyway", "Launch Live Guideline Search ↗")</f>
        <v/>
      </c>
    </row>
    <row r="32" ht="20" customHeight="1">
      <c r="A32" s="2" t="n">
        <v>31</v>
      </c>
      <c r="B32" s="3" t="inlineStr">
        <is>
          <t>Antifungals in ICU</t>
        </is>
      </c>
      <c r="C32" s="4" t="inlineStr">
        <is>
          <t>Critical Care &amp; Emergency Medicine</t>
        </is>
      </c>
      <c r="D32" s="5">
        <f>HYPERLINK("https://www.google.com/search?q=Antifungals%20in%20ICU%20clinical%20practice%20guideline%20pathyway", "Launch Live Guideline Search ↗")</f>
        <v/>
      </c>
    </row>
    <row r="33" ht="20" customHeight="1">
      <c r="A33" s="6" t="n">
        <v>32</v>
      </c>
      <c r="B33" s="7" t="inlineStr">
        <is>
          <t>Antipsychotic metabolic monitoring</t>
        </is>
      </c>
      <c r="C33" s="8" t="inlineStr">
        <is>
          <t>Psychiatry &amp; Mental Health</t>
        </is>
      </c>
      <c r="D33" s="9">
        <f>HYPERLINK("https://www.google.com/search?q=Antipsychotic%20metabolic%20monitoring%20clinical%20practice%20guideline%20pathyway", "Launch Live Guideline Search ↗")</f>
        <v/>
      </c>
    </row>
    <row r="34" ht="20" customHeight="1">
      <c r="A34" s="2" t="n">
        <v>33</v>
      </c>
      <c r="B34" s="3" t="inlineStr">
        <is>
          <t>Aspirin cardiovascular events bleeding healthy elderly primary prevention</t>
        </is>
      </c>
      <c r="C34" s="4" t="inlineStr">
        <is>
          <t>Cardiovascular Medicine</t>
        </is>
      </c>
      <c r="D34" s="5">
        <f>HYPERLINK("https://www.google.com/search?q=Aspirin%20cardiovascular%20events%20bleeding%20healthy%20elderly%20primary%20prevention%20clinical%20practice%20guideline%20pathyway", "Launch Live Guideline Search ↗")</f>
        <v/>
      </c>
    </row>
    <row r="35" ht="20" customHeight="1">
      <c r="A35" s="6" t="n">
        <v>34</v>
      </c>
      <c r="B35" s="7" t="inlineStr">
        <is>
          <t>Aspirin-exacerbated respiratory disease management</t>
        </is>
      </c>
      <c r="C35" s="8" t="inlineStr">
        <is>
          <t>Respiratory Medicine</t>
        </is>
      </c>
      <c r="D35" s="9">
        <f>HYPERLINK("https://www.google.com/search?q=Aspirin-exacerbated%20respiratory%20disease%20management%20clinical%20practice%20guideline%20pathyway", "Launch Live Guideline Search ↗")</f>
        <v/>
      </c>
    </row>
    <row r="36" ht="20" customHeight="1">
      <c r="A36" s="2" t="n">
        <v>35</v>
      </c>
      <c r="B36" s="3" t="inlineStr">
        <is>
          <t>Asthma biologics</t>
        </is>
      </c>
      <c r="C36" s="4" t="inlineStr">
        <is>
          <t>Respiratory Medicine</t>
        </is>
      </c>
      <c r="D36" s="5">
        <f>HYPERLINK("https://www.google.com/search?q=Asthma%20biologics%20clinical%20practice%20guideline%20pathyway", "Launch Live Guideline Search ↗")</f>
        <v/>
      </c>
    </row>
    <row r="37" ht="20" customHeight="1">
      <c r="A37" s="6" t="n">
        <v>36</v>
      </c>
      <c r="B37" s="7" t="inlineStr">
        <is>
          <t>Atopic dermatitis: diagnosis, stepwise treatment and biologics</t>
        </is>
      </c>
      <c r="C37" s="8" t="inlineStr">
        <is>
          <t>Dermatology &amp; Allergy</t>
        </is>
      </c>
      <c r="D37" s="9">
        <f>HYPERLINK("https://www.google.com/search?q=Atopic%20dermatitis%3A%20diagnosis%2C%20stepwise%20treatment%20and%20biologics%20clinical%20practice%20guideline%20pathyway", "Launch Live Guideline Search ↗")</f>
        <v/>
      </c>
    </row>
    <row r="38" ht="20" customHeight="1">
      <c r="A38" s="2" t="n">
        <v>37</v>
      </c>
      <c r="B38" s="3" t="inlineStr">
        <is>
          <t>Atrial fibrillation diagnosis and management guideline</t>
        </is>
      </c>
      <c r="C38" s="4" t="inlineStr">
        <is>
          <t>Cardiovascular Medicine</t>
        </is>
      </c>
      <c r="D38" s="5">
        <f>HYPERLINK("https://www.google.com/search?q=Atrial%20fibrillation%20diagnosis%20and%20management%20guideline%20clinical%20practice%20guideline%20pathyway", "Launch Live Guideline Search ↗")</f>
        <v/>
      </c>
    </row>
    <row r="39" ht="20" customHeight="1">
      <c r="A39" s="6" t="n">
        <v>38</v>
      </c>
      <c r="B39" s="7" t="inlineStr">
        <is>
          <t>Autosomal dominant polycystic kidney disease tolvaptan</t>
        </is>
      </c>
      <c r="C39" s="8" t="inlineStr">
        <is>
          <t>Nephrology &amp; Urology</t>
        </is>
      </c>
      <c r="D39" s="9">
        <f>HYPERLINK("https://www.google.com/search?q=Autosomal%20dominant%20polycystic%20kidney%20disease%20tolvaptan%20clinical%20practice%20guideline%20pathyway", "Launch Live Guideline Search ↗")</f>
        <v/>
      </c>
    </row>
    <row r="40" ht="20" customHeight="1">
      <c r="A40" s="2" t="n">
        <v>39</v>
      </c>
      <c r="B40" s="3" t="inlineStr">
        <is>
          <t>Bacterial meningitis: empirical antibiotics, dexamethasone, LP contraindications, CSF interpretation</t>
        </is>
      </c>
      <c r="C40" s="4" t="inlineStr">
        <is>
          <t>Infectious Diseases</t>
        </is>
      </c>
      <c r="D40" s="5">
        <f>HYPERLINK("https://www.google.com/search?q=Bacterial%20meningitis%3A%20empirical%20antibiotics%2C%20dexamethasone%2C%20LP%20contraindications%2C%20CSF%20interpretation%20clinical%20practice%20guideline%20pathyway", "Launch Live Guideline Search ↗")</f>
        <v/>
      </c>
    </row>
    <row r="41" ht="20" customHeight="1">
      <c r="A41" s="6" t="n">
        <v>40</v>
      </c>
      <c r="B41" s="7" t="inlineStr">
        <is>
          <t>Benzodiazepine deprescribing in anxiety and insomnia</t>
        </is>
      </c>
      <c r="C41" s="8" t="inlineStr">
        <is>
          <t>Psychiatry &amp; Mental Health</t>
        </is>
      </c>
      <c r="D41" s="9">
        <f>HYPERLINK("https://www.google.com/search?q=Benzodiazepine%20deprescribing%20in%20anxiety%20and%20insomnia%20clinical%20practice%20guideline%20pathyway", "Launch Live Guideline Search ↗")</f>
        <v/>
      </c>
    </row>
    <row r="42" ht="20" customHeight="1">
      <c r="A42" s="2" t="n">
        <v>41</v>
      </c>
      <c r="B42" s="3" t="inlineStr">
        <is>
          <t>Biologic therapy pre treatment infection screening</t>
        </is>
      </c>
      <c r="C42" s="4" t="inlineStr">
        <is>
          <t>Rheumatology &amp; Immunology</t>
        </is>
      </c>
      <c r="D42" s="5">
        <f>HYPERLINK("https://www.google.com/search?q=Biologic%20therapy%20pre%20treatment%20infection%20screening%20clinical%20practice%20guideline%20pathyway", "Launch Live Guideline Search ↗")</f>
        <v/>
      </c>
    </row>
    <row r="43" ht="20" customHeight="1">
      <c r="A43" s="6" t="n">
        <v>42</v>
      </c>
      <c r="B43" s="7" t="inlineStr">
        <is>
          <t>Bone Marrow Fibrosis Grading</t>
        </is>
      </c>
      <c r="C43" s="8" t="inlineStr">
        <is>
          <t>Hematology &amp; Oncology</t>
        </is>
      </c>
      <c r="D43" s="9">
        <f>HYPERLINK("https://www.google.com/search?q=Bone%20Marrow%20Fibrosis%20Grading%20clinical%20practice%20guideline%20pathyway", "Launch Live Guideline Search ↗")</f>
        <v/>
      </c>
    </row>
    <row r="44" ht="20" customHeight="1">
      <c r="A44" s="2" t="n">
        <v>43</v>
      </c>
      <c r="B44" s="3" t="inlineStr">
        <is>
          <t>Bone metastases denosumab and zoledronic acid</t>
        </is>
      </c>
      <c r="C44" s="4" t="inlineStr">
        <is>
          <t>Hematology &amp; Oncology</t>
        </is>
      </c>
      <c r="D44" s="5">
        <f>HYPERLINK("https://www.google.com/search?q=Bone%20metastases%20denosumab%20and%20zoledronic%20acid%20clinical%20practice%20guideline%20pathyway", "Launch Live Guideline Search ↗")</f>
        <v/>
      </c>
    </row>
    <row r="45" ht="20" customHeight="1">
      <c r="A45" s="6" t="n">
        <v>44</v>
      </c>
      <c r="B45" s="7" t="inlineStr">
        <is>
          <t>Borderline personality disorder dialectical behavior therapy</t>
        </is>
      </c>
      <c r="C45" s="8" t="inlineStr">
        <is>
          <t>Psychiatry &amp; Mental Health</t>
        </is>
      </c>
      <c r="D45" s="9">
        <f>HYPERLINK("https://www.google.com/search?q=Borderline%20personality%20disorder%20dialectical%20behavior%20therapy%20clinical%20practice%20guideline%20pathyway", "Launch Live Guideline Search ↗")</f>
        <v/>
      </c>
    </row>
    <row r="46" ht="20" customHeight="1">
      <c r="A46" s="2" t="n">
        <v>45</v>
      </c>
      <c r="B46" s="3" t="inlineStr">
        <is>
          <t>Bronchiolitis and viral wheeze</t>
        </is>
      </c>
      <c r="C46" s="4" t="inlineStr">
        <is>
          <t>Pediatrics &amp; Neonatology</t>
        </is>
      </c>
      <c r="D46" s="5">
        <f>HYPERLINK("https://www.google.com/search?q=Bronchiolitis%20and%20viral%20wheeze%20clinical%20practice%20guideline%20pathyway", "Launch Live Guideline Search ↗")</f>
        <v/>
      </c>
    </row>
    <row r="47" ht="20" customHeight="1">
      <c r="A47" s="6" t="n">
        <v>46</v>
      </c>
      <c r="B47" s="7" t="inlineStr">
        <is>
          <t>Bronchiolitis: assessment, risk stratification and management</t>
        </is>
      </c>
      <c r="C47" s="8" t="inlineStr">
        <is>
          <t>Pediatrics &amp; Neonatology</t>
        </is>
      </c>
      <c r="D47" s="9">
        <f>HYPERLINK("https://www.google.com/search?q=Bronchiolitis%3A%20assessment%2C%20risk%20stratification%20and%20management%20clinical%20practice%20guideline%20pathyway", "Launch Live Guideline Search ↗")</f>
        <v/>
      </c>
    </row>
    <row r="48" ht="20" customHeight="1">
      <c r="A48" s="2" t="n">
        <v>47</v>
      </c>
      <c r="B48" s="3" t="inlineStr">
        <is>
          <t>CABG versus PCI multivessel coronary disease</t>
        </is>
      </c>
      <c r="C48" s="4" t="inlineStr">
        <is>
          <t>Cardiovascular Medicine</t>
        </is>
      </c>
      <c r="D48" s="5">
        <f>HYPERLINK("https://www.google.com/search?q=CABG%20versus%20PCI%20multivessel%20coronary%20disease%20clinical%20practice%20guideline%20pathyway", "Launch Live Guideline Search ↗")</f>
        <v/>
      </c>
    </row>
    <row r="49" ht="20" customHeight="1">
      <c r="A49" s="6" t="n">
        <v>48</v>
      </c>
      <c r="B49" s="7" t="inlineStr">
        <is>
          <t>Canagliflozin renal outcomes type 2 diabetes nephropathy</t>
        </is>
      </c>
      <c r="C49" s="8" t="inlineStr">
        <is>
          <t>Nephrology &amp; Urology</t>
        </is>
      </c>
      <c r="D49" s="9">
        <f>HYPERLINK("https://www.google.com/search?q=Canagliflozin%20renal%20outcomes%20type%202%20diabetes%20nephropathy%20clinical%20practice%20guideline%20pathyway", "Launch Live Guideline Search ↗")</f>
        <v/>
      </c>
    </row>
    <row r="50" ht="20" customHeight="1">
      <c r="A50" s="2" t="n">
        <v>49</v>
      </c>
      <c r="B50" s="3" t="inlineStr">
        <is>
          <t>Canakinumab anti-inflammatory therapy atherosclerotic disease</t>
        </is>
      </c>
      <c r="C50" s="4" t="inlineStr">
        <is>
          <t>Cardiovascular Medicine</t>
        </is>
      </c>
      <c r="D50" s="5">
        <f>HYPERLINK("https://www.google.com/search?q=Canakinumab%20anti-inflammatory%20therapy%20atherosclerotic%20disease%20clinical%20practice%20guideline%20pathyway", "Launch Live Guideline Search ↗")</f>
        <v/>
      </c>
    </row>
    <row r="51" ht="20" customHeight="1">
      <c r="A51" s="6" t="n">
        <v>50</v>
      </c>
      <c r="B51" s="7" t="inlineStr">
        <is>
          <t>CAR-T cell therapy refractory large B-cell lymphoma axicabtagene</t>
        </is>
      </c>
      <c r="C51" s="8" t="inlineStr">
        <is>
          <t>Hematology &amp; Oncology</t>
        </is>
      </c>
      <c r="D51" s="9">
        <f>HYPERLINK("https://www.google.com/search?q=CAR-T%20cell%20therapy%20refractory%20large%20B-cell%20lymphoma%20axicabtagene%20clinical%20practice%20guideline%20pathyway", "Launch Live Guideline Search ↗")</f>
        <v/>
      </c>
    </row>
    <row r="52" ht="20" customHeight="1">
      <c r="A52" s="2" t="n">
        <v>51</v>
      </c>
      <c r="B52" s="3" t="inlineStr">
        <is>
          <t>Cardiac resynchronization therapy heart failure COMPANION trial</t>
        </is>
      </c>
      <c r="C52" s="4" t="inlineStr">
        <is>
          <t>Cardiovascular Medicine</t>
        </is>
      </c>
      <c r="D52" s="5">
        <f>HYPERLINK("https://www.google.com/search?q=Cardiac%20resynchronization%20therapy%20heart%20failure%20COMPANION%20trial%20clinical%20practice%20guideline%20pathyway", "Launch Live Guideline Search ↗")</f>
        <v/>
      </c>
    </row>
    <row r="53" ht="20" customHeight="1">
      <c r="A53" s="6" t="n">
        <v>52</v>
      </c>
      <c r="B53" s="7" t="inlineStr">
        <is>
          <t>Cardiogenic shock intra aortic balloon pump and revascularization</t>
        </is>
      </c>
      <c r="C53" s="8" t="inlineStr">
        <is>
          <t>Cardiovascular Medicine</t>
        </is>
      </c>
      <c r="D53" s="9">
        <f>HYPERLINK("https://www.google.com/search?q=Cardiogenic%20shock%20intra%20aortic%20balloon%20pump%20and%20revascularization%20clinical%20practice%20guideline%20pathyway", "Launch Live Guideline Search ↗")</f>
        <v/>
      </c>
    </row>
    <row r="54" ht="20" customHeight="1">
      <c r="A54" s="2" t="n">
        <v>53</v>
      </c>
      <c r="B54" s="3" t="inlineStr">
        <is>
          <t>Carpal tunnel syndrome: diagnosis and management</t>
        </is>
      </c>
      <c r="C54" s="4" t="inlineStr">
        <is>
          <t>Orthopedics &amp; Rheumatology</t>
        </is>
      </c>
      <c r="D54" s="5">
        <f>HYPERLINK("https://www.google.com/search?q=Carpal%20tunnel%20syndrome%3A%20diagnosis%20and%20management%20clinical%20practice%20guideline%20pathyway", "Launch Live Guideline Search ↗")</f>
        <v/>
      </c>
    </row>
    <row r="55" ht="20" customHeight="1">
      <c r="A55" s="6" t="n">
        <v>54</v>
      </c>
      <c r="B55" s="7" t="inlineStr">
        <is>
          <t>Catatonia benzodiazepines and ECT</t>
        </is>
      </c>
      <c r="C55" s="8" t="inlineStr">
        <is>
          <t>Psychiatry &amp; Mental Health</t>
        </is>
      </c>
      <c r="D55" s="9">
        <f>HYPERLINK("https://www.google.com/search?q=Catatonia%20benzodiazepines%20and%20ECT%20clinical%20practice%20guideline%20pathyway", "Launch Live Guideline Search ↗")</f>
        <v/>
      </c>
    </row>
    <row r="56" ht="20" customHeight="1">
      <c r="A56" s="2" t="n">
        <v>55</v>
      </c>
      <c r="B56" s="3" t="inlineStr">
        <is>
          <t>Cellulitis, erysipelas, and mimics</t>
        </is>
      </c>
      <c r="C56" s="4" t="inlineStr">
        <is>
          <t>Infectious Diseases</t>
        </is>
      </c>
      <c r="D56" s="5">
        <f>HYPERLINK("https://www.google.com/search?q=Cellulitis%2C%20erysipelas%2C%20and%20mimics%20clinical%20practice%20guideline%20pathyway", "Launch Live Guideline Search ↗")</f>
        <v/>
      </c>
    </row>
    <row r="57" ht="20" customHeight="1">
      <c r="A57" s="6" t="n">
        <v>56</v>
      </c>
      <c r="B57" s="7" t="inlineStr">
        <is>
          <t>Chemotherapy induced nausea antiemetic prophylaxis</t>
        </is>
      </c>
      <c r="C57" s="8" t="inlineStr">
        <is>
          <t>Hematology &amp; Oncology</t>
        </is>
      </c>
      <c r="D57" s="9">
        <f>HYPERLINK("https://www.google.com/search?q=Chemotherapy%20induced%20nausea%20antiemetic%20prophylaxis%20clinical%20practice%20guideline%20pathyway", "Launch Live Guideline Search ↗")</f>
        <v/>
      </c>
    </row>
    <row r="58" ht="20" customHeight="1">
      <c r="A58" s="2" t="n">
        <v>57</v>
      </c>
      <c r="B58" s="3" t="inlineStr">
        <is>
          <t>Chest pain assessment in the ED</t>
        </is>
      </c>
      <c r="C58" s="4" t="inlineStr">
        <is>
          <t>Critical Care &amp; Emergency Medicine</t>
        </is>
      </c>
      <c r="D58" s="5">
        <f>HYPERLINK("https://www.google.com/search?q=Chest%20pain%20assessment%20in%20the%20ED%20clinical%20practice%20guideline%20pathyway", "Launch Live Guideline Search ↗")</f>
        <v/>
      </c>
    </row>
    <row r="59" ht="20" customHeight="1">
      <c r="A59" s="6" t="n">
        <v>58</v>
      </c>
      <c r="B59" s="7" t="inlineStr">
        <is>
          <t>Childhood asthma and wheeze phenotypes</t>
        </is>
      </c>
      <c r="C59" s="8" t="inlineStr">
        <is>
          <t>Pediatrics &amp; Neonatology</t>
        </is>
      </c>
      <c r="D59" s="9">
        <f>HYPERLINK("https://www.google.com/search?q=Childhood%20asthma%20and%20wheeze%20phenotypes%20clinical%20practice%20guideline%20pathyway", "Launch Live Guideline Search ↗")</f>
        <v/>
      </c>
    </row>
    <row r="60" ht="20" customHeight="1">
      <c r="A60" s="2" t="n">
        <v>59</v>
      </c>
      <c r="B60" s="3" t="inlineStr">
        <is>
          <t>Chronic cough evaluation and empiric therapy</t>
        </is>
      </c>
      <c r="C60" s="4" t="inlineStr">
        <is>
          <t>Respiratory Medicine</t>
        </is>
      </c>
      <c r="D60" s="5">
        <f>HYPERLINK("https://www.google.com/search?q=Chronic%20cough%20evaluation%20and%20empiric%20therapy%20clinical%20practice%20guideline%20pathyway", "Launch Live Guideline Search ↗")</f>
        <v/>
      </c>
    </row>
    <row r="61" ht="20" customHeight="1">
      <c r="A61" s="6" t="n">
        <v>60</v>
      </c>
      <c r="B61" s="7" t="inlineStr">
        <is>
          <t>Chronic hepatitis B antiviral therapy</t>
        </is>
      </c>
      <c r="C61" s="8" t="inlineStr">
        <is>
          <t>Gastroenterology &amp; General Surgery</t>
        </is>
      </c>
      <c r="D61" s="9">
        <f>HYPERLINK("https://www.google.com/search?q=Chronic%20hepatitis%20B%20antiviral%20therapy%20clinical%20practice%20guideline%20pathyway", "Launch Live Guideline Search ↗")</f>
        <v/>
      </c>
    </row>
    <row r="62" ht="20" customHeight="1">
      <c r="A62" s="2" t="n">
        <v>61</v>
      </c>
      <c r="B62" s="3" t="inlineStr">
        <is>
          <t>Chronic lymphocytic leukaemia ibrutinib and venetoclax based targeted therapy</t>
        </is>
      </c>
      <c r="C62" s="4" t="inlineStr">
        <is>
          <t>Hematology &amp; Oncology</t>
        </is>
      </c>
      <c r="D62" s="5">
        <f>HYPERLINK("https://www.google.com/search?q=Chronic%20lymphocytic%20leukaemia%20ibrutinib%20and%20venetoclax%20based%20targeted%20therapy%20clinical%20practice%20guideline%20pathyway", "Launch Live Guideline Search ↗")</f>
        <v/>
      </c>
    </row>
    <row r="63" ht="20" customHeight="1">
      <c r="A63" s="6" t="n">
        <v>62</v>
      </c>
      <c r="B63" s="7" t="inlineStr">
        <is>
          <t>Chronic lymphocytic leukaemia: chemoimmunotherapy with FCR</t>
        </is>
      </c>
      <c r="C63" s="8" t="inlineStr">
        <is>
          <t>Hematology &amp; Oncology</t>
        </is>
      </c>
      <c r="D63" s="9">
        <f>HYPERLINK("https://www.google.com/search?q=Chronic%20lymphocytic%20leukaemia%3A%20chemoimmunotherapy%20with%20FCR%20clinical%20practice%20guideline%20pathyway", "Launch Live Guideline Search ↗")</f>
        <v/>
      </c>
    </row>
    <row r="64" ht="20" customHeight="1">
      <c r="A64" s="2" t="n">
        <v>63</v>
      </c>
      <c r="B64" s="3" t="inlineStr">
        <is>
          <t>Chronic spontaneous urticaria omalizumab</t>
        </is>
      </c>
      <c r="C64" s="4" t="inlineStr">
        <is>
          <t>Dermatology &amp; Allergy</t>
        </is>
      </c>
      <c r="D64" s="5">
        <f>HYPERLINK("https://www.google.com/search?q=Chronic%20spontaneous%20urticaria%20omalizumab%20clinical%20practice%20guideline%20pathyway", "Launch Live Guideline Search ↗")</f>
        <v/>
      </c>
    </row>
    <row r="65" ht="20" customHeight="1">
      <c r="A65" s="6" t="n">
        <v>64</v>
      </c>
      <c r="B65" s="7" t="inlineStr">
        <is>
          <t>Cirrhosis and portal hypertension</t>
        </is>
      </c>
      <c r="C65" s="8" t="inlineStr">
        <is>
          <t>Gastroenterology &amp; General Surgery</t>
        </is>
      </c>
      <c r="D65" s="9">
        <f>HYPERLINK("https://www.google.com/search?q=Cirrhosis%20and%20portal%20hypertension%20clinical%20practice%20guideline%20pathyway", "Launch Live Guideline Search ↗")</f>
        <v/>
      </c>
    </row>
    <row r="66" ht="20" customHeight="1">
      <c r="A66" s="2" t="n">
        <v>65</v>
      </c>
      <c r="B66" s="3" t="inlineStr">
        <is>
          <t>Cirrhosis ascites and spontaneous bacterial peritonitis</t>
        </is>
      </c>
      <c r="C66" s="4" t="inlineStr">
        <is>
          <t>Gastroenterology &amp; General Surgery</t>
        </is>
      </c>
      <c r="D66" s="5">
        <f>HYPERLINK("https://www.google.com/search?q=Cirrhosis%20ascites%20and%20spontaneous%20bacterial%20peritonitis%20clinical%20practice%20guideline%20pathyway", "Launch Live Guideline Search ↗")</f>
        <v/>
      </c>
    </row>
    <row r="67" ht="20" customHeight="1">
      <c r="A67" s="6" t="n">
        <v>66</v>
      </c>
      <c r="B67" s="7" t="inlineStr">
        <is>
          <t>Community- and hospital-acquired pneumonia</t>
        </is>
      </c>
      <c r="C67" s="8" t="inlineStr">
        <is>
          <t>Infectious Diseases</t>
        </is>
      </c>
      <c r="D67" s="9">
        <f>HYPERLINK("https://www.google.com/search?q=Community-%20and%20hospital-acquired%20pneumonia%20clinical%20practice%20guideline%20pathyway", "Launch Live Guideline Search ↗")</f>
        <v/>
      </c>
    </row>
    <row r="68" ht="20" customHeight="1">
      <c r="A68" s="2" t="n">
        <v>67</v>
      </c>
      <c r="B68" s="3" t="inlineStr">
        <is>
          <t>Compartment syndrome: diagnosis and emergency management</t>
        </is>
      </c>
      <c r="C68" s="4" t="inlineStr">
        <is>
          <t>Orthopedics &amp; Rheumatology</t>
        </is>
      </c>
      <c r="D68" s="5">
        <f>HYPERLINK("https://www.google.com/search?q=Compartment%20syndrome%3A%20diagnosis%20and%20emergency%20management%20clinical%20practice%20guideline%20pathyway", "Launch Live Guideline Search ↗")</f>
        <v/>
      </c>
    </row>
    <row r="69" ht="20" customHeight="1">
      <c r="A69" s="6" t="n">
        <v>68</v>
      </c>
      <c r="B69" s="7" t="inlineStr">
        <is>
          <t>Complement deficiency infection susceptibility</t>
        </is>
      </c>
      <c r="C69" s="8" t="inlineStr">
        <is>
          <t>Rheumatology &amp; Immunology</t>
        </is>
      </c>
      <c r="D69" s="9">
        <f>HYPERLINK("https://www.google.com/search?q=Complement%20deficiency%20infection%20susceptibility%20clinical%20practice%20guideline%20pathyway", "Launch Live Guideline Search ↗")</f>
        <v/>
      </c>
    </row>
    <row r="70" ht="20" customHeight="1">
      <c r="A70" s="2" t="n">
        <v>69</v>
      </c>
      <c r="B70" s="3" t="inlineStr">
        <is>
          <t>Contact dermatitis: irritant vs allergic, patch testing and management</t>
        </is>
      </c>
      <c r="C70" s="4" t="inlineStr">
        <is>
          <t>Dermatology &amp; Allergy</t>
        </is>
      </c>
      <c r="D70" s="5">
        <f>HYPERLINK("https://www.google.com/search?q=Contact%20dermatitis%3A%20irritant%20vs%20allergic%2C%20patch%20testing%20and%20management%20clinical%20practice%20guideline%20pathyway", "Launch Live Guideline Search ↗")</f>
        <v/>
      </c>
    </row>
    <row r="71" ht="20" customHeight="1">
      <c r="A71" s="6" t="n">
        <v>70</v>
      </c>
      <c r="B71" s="7" t="inlineStr">
        <is>
          <t>Coronary CT angiography for stable chest pain</t>
        </is>
      </c>
      <c r="C71" s="8" t="inlineStr">
        <is>
          <t>Cardiovascular Medicine</t>
        </is>
      </c>
      <c r="D71" s="9">
        <f>HYPERLINK("https://www.google.com/search?q=Coronary%20CT%20angiography%20for%20stable%20chest%20pain%20clinical%20practice%20guideline%20pathyway", "Launch Live Guideline Search ↗")</f>
        <v/>
      </c>
    </row>
    <row r="72" ht="20" customHeight="1">
      <c r="A72" s="2" t="n">
        <v>71</v>
      </c>
      <c r="B72" s="3" t="inlineStr">
        <is>
          <t>COVID</t>
        </is>
      </c>
      <c r="C72" s="4" t="inlineStr">
        <is>
          <t>Infectious Diseases</t>
        </is>
      </c>
      <c r="D72" s="5">
        <f>HYPERLINK("https://www.google.com/search?q=COVID%20clinical%20practice%20guideline%20pathyway", "Launch Live Guideline Search ↗")</f>
        <v/>
      </c>
    </row>
    <row r="73" ht="20" customHeight="1">
      <c r="A73" s="6" t="n">
        <v>72</v>
      </c>
      <c r="B73" s="7" t="inlineStr">
        <is>
          <t>CRISPR-Cas9 gene editing sickle cell disease beta-thalassemia</t>
        </is>
      </c>
      <c r="C73" s="8" t="inlineStr">
        <is>
          <t>Hematology &amp; Oncology</t>
        </is>
      </c>
      <c r="D73" s="9">
        <f>HYPERLINK("https://www.google.com/search?q=CRISPR-Cas9%20gene%20editing%20sickle%20cell%20disease%20beta-thalassemia%20clinical%20practice%20guideline%20pathyway", "Launch Live Guideline Search ↗")</f>
        <v/>
      </c>
    </row>
    <row r="74" ht="20" customHeight="1">
      <c r="A74" s="2" t="n">
        <v>73</v>
      </c>
      <c r="B74" s="3" t="inlineStr">
        <is>
          <t>Croup: assessment, severity scoring and management</t>
        </is>
      </c>
      <c r="C74" s="4" t="inlineStr">
        <is>
          <t>Pediatrics &amp; Neonatology</t>
        </is>
      </c>
      <c r="D74" s="5">
        <f>HYPERLINK("https://www.google.com/search?q=Croup%3A%20assessment%2C%20severity%20scoring%20and%20management%20clinical%20practice%20guideline%20pathyway", "Launch Live Guideline Search ↗")</f>
        <v/>
      </c>
    </row>
    <row r="75" ht="20" customHeight="1">
      <c r="A75" s="6" t="n">
        <v>74</v>
      </c>
      <c r="B75" s="7" t="inlineStr">
        <is>
          <t>Cushings disease: pituitary source, inferior petrosal sinus sampling, transsphenoidal surgery</t>
        </is>
      </c>
      <c r="C75" s="8" t="inlineStr">
        <is>
          <t>Endocrinology &amp; Metabolism</t>
        </is>
      </c>
      <c r="D75" s="9">
        <f>HYPERLINK("https://www.google.com/search?q=Cushings%20disease%3A%20pituitary%20source%2C%20inferior%20petrosal%20sinus%20sampling%2C%20transsphenoidal%20surgery%20clinical%20practice%20guideline%20pathyway", "Launch Live Guideline Search ↗")</f>
        <v/>
      </c>
    </row>
    <row r="76" ht="20" customHeight="1">
      <c r="A76" s="2" t="n">
        <v>75</v>
      </c>
      <c r="B76" s="3" t="inlineStr">
        <is>
          <t>Cushings syndrome: ACTH-dependent vs independent, screening, dexamethasone suppression</t>
        </is>
      </c>
      <c r="C76" s="4" t="inlineStr">
        <is>
          <t>Endocrinology &amp; Metabolism</t>
        </is>
      </c>
      <c r="D76" s="5">
        <f>HYPERLINK("https://www.google.com/search?q=Cushings%20syndrome%3A%20ACTH-dependent%20vs%20independent%2C%20screening%2C%20dexamethasone%20suppression%20clinical%20practice%20guideline%20pathyway", "Launch Live Guideline Search ↗")</f>
        <v/>
      </c>
    </row>
    <row r="77" ht="20" customHeight="1">
      <c r="A77" s="6" t="n">
        <v>76</v>
      </c>
      <c r="B77" s="7" t="inlineStr">
        <is>
          <t>Cystic fibrosis CFTR modulator therapy</t>
        </is>
      </c>
      <c r="C77" s="8" t="inlineStr">
        <is>
          <t>Respiratory Medicine</t>
        </is>
      </c>
      <c r="D77" s="9">
        <f>HYPERLINK("https://www.google.com/search?q=Cystic%20fibrosis%20CFTR%20modulator%20therapy%20clinical%20practice%20guideline%20pathyway", "Launch Live Guideline Search ↗")</f>
        <v/>
      </c>
    </row>
    <row r="78" ht="20" customHeight="1">
      <c r="A78" s="2" t="n">
        <v>77</v>
      </c>
      <c r="B78" s="3" t="inlineStr">
        <is>
          <t>Cytomegalovirus prevention in transplant recipients</t>
        </is>
      </c>
      <c r="C78" s="4" t="inlineStr">
        <is>
          <t>Infectious Diseases</t>
        </is>
      </c>
      <c r="D78" s="5">
        <f>HYPERLINK("https://www.google.com/search?q=Cytomegalovirus%20prevention%20in%20transplant%20recipients%20clinical%20practice%20guideline%20pathyway", "Launch Live Guideline Search ↗")</f>
        <v/>
      </c>
    </row>
    <row r="79" ht="20" customHeight="1">
      <c r="A79" s="6" t="n">
        <v>78</v>
      </c>
      <c r="B79" s="7" t="inlineStr">
        <is>
          <t>Dabigatran versus warfarin atrial fibrillation stroke prevention</t>
        </is>
      </c>
      <c r="C79" s="8" t="inlineStr">
        <is>
          <t>Cardiovascular Medicine</t>
        </is>
      </c>
      <c r="D79" s="9">
        <f>HYPERLINK("https://www.google.com/search?q=Dabigatran%20versus%20warfarin%20atrial%20fibrillation%20stroke%20prevention%20clinical%20practice%20guideline%20pathyway", "Launch Live Guideline Search ↗")</f>
        <v/>
      </c>
    </row>
    <row r="80" ht="20" customHeight="1">
      <c r="A80" s="2" t="n">
        <v>79</v>
      </c>
      <c r="B80" s="3" t="inlineStr">
        <is>
          <t>Delayed Haemolytic Transfusion Reactions</t>
        </is>
      </c>
      <c r="C80" s="4" t="inlineStr">
        <is>
          <t>Hematology &amp; Oncology</t>
        </is>
      </c>
      <c r="D80" s="5">
        <f>HYPERLINK("https://www.google.com/search?q=Delayed%20Haemolytic%20Transfusion%20Reactions%20clinical%20practice%20guideline%20pathyway", "Launch Live Guideline Search ↗")</f>
        <v/>
      </c>
    </row>
    <row r="81" ht="20" customHeight="1">
      <c r="A81" s="6" t="n">
        <v>80</v>
      </c>
      <c r="B81" s="7" t="inlineStr">
        <is>
          <t>Delirium and acute confusional states</t>
        </is>
      </c>
      <c r="C81" s="8" t="inlineStr">
        <is>
          <t>Geriatrics &amp; Neurology</t>
        </is>
      </c>
      <c r="D81" s="9">
        <f>HYPERLINK("https://www.google.com/search?q=Delirium%20and%20acute%20confusional%20states%20clinical%20practice%20guideline%20pathyway", "Launch Live Guideline Search ↗")</f>
        <v/>
      </c>
    </row>
    <row r="82" ht="20" customHeight="1">
      <c r="A82" s="2" t="n">
        <v>81</v>
      </c>
      <c r="B82" s="3" t="inlineStr">
        <is>
          <t>Delirium: recognition, risk factors, prevention and management</t>
        </is>
      </c>
      <c r="C82" s="4" t="inlineStr">
        <is>
          <t>Geriatrics &amp; Neurology</t>
        </is>
      </c>
      <c r="D82" s="5">
        <f>HYPERLINK("https://www.google.com/search?q=Delirium%3A%20recognition%2C%20risk%20factors%2C%20prevention%20and%20management%20clinical%20practice%20guideline%20pathyway", "Launch Live Guideline Search ↗")</f>
        <v/>
      </c>
    </row>
    <row r="83" ht="20" customHeight="1">
      <c r="A83" s="6" t="n">
        <v>82</v>
      </c>
      <c r="B83" s="7" t="inlineStr">
        <is>
          <t>Dementia: behavioural and psychological symptoms management</t>
        </is>
      </c>
      <c r="C83" s="8" t="inlineStr">
        <is>
          <t>Geriatrics &amp; Neurology</t>
        </is>
      </c>
      <c r="D83" s="9">
        <f>HYPERLINK("https://www.google.com/search?q=Dementia%3A%20behavioural%20and%20psychological%20symptoms%20management%20clinical%20practice%20guideline%20pathyway", "Launch Live Guideline Search ↗")</f>
        <v/>
      </c>
    </row>
    <row r="84" ht="20" customHeight="1">
      <c r="A84" s="2" t="n">
        <v>83</v>
      </c>
      <c r="B84" s="3" t="inlineStr">
        <is>
          <t>Depression and anxiety disorders</t>
        </is>
      </c>
      <c r="C84" s="4" t="inlineStr">
        <is>
          <t>Psychiatry &amp; Mental Health</t>
        </is>
      </c>
      <c r="D84" s="5">
        <f>HYPERLINK("https://www.google.com/search?q=Depression%20and%20anxiety%20disorders%20clinical%20practice%20guideline%20pathyway", "Launch Live Guideline Search ↗")</f>
        <v/>
      </c>
    </row>
    <row r="85" ht="20" customHeight="1">
      <c r="A85" s="6" t="n">
        <v>84</v>
      </c>
      <c r="B85" s="7" t="inlineStr">
        <is>
          <t>Depression: diagnosis, pharmacotherapy and monitoring</t>
        </is>
      </c>
      <c r="C85" s="8" t="inlineStr">
        <is>
          <t>Psychiatry &amp; Mental Health</t>
        </is>
      </c>
      <c r="D85" s="9">
        <f>HYPERLINK("https://www.google.com/search?q=Depression%3A%20diagnosis%2C%20pharmacotherapy%20and%20monitoring%20clinical%20practice%20guideline%20pathyway", "Launch Live Guideline Search ↗")</f>
        <v/>
      </c>
    </row>
    <row r="86" ht="20" customHeight="1">
      <c r="A86" s="2" t="n">
        <v>85</v>
      </c>
      <c r="B86" s="3" t="inlineStr">
        <is>
          <t>Difficult airway management</t>
        </is>
      </c>
      <c r="C86" s="4" t="inlineStr">
        <is>
          <t>Critical Care &amp; Emergency Medicine</t>
        </is>
      </c>
      <c r="D86" s="5">
        <f>HYPERLINK("https://www.google.com/search?q=Difficult%20airway%20management%20clinical%20practice%20guideline%20pathyway", "Launch Live Guideline Search ↗")</f>
        <v/>
      </c>
    </row>
    <row r="87" ht="20" customHeight="1">
      <c r="A87" s="6" t="n">
        <v>86</v>
      </c>
      <c r="B87" s="7" t="inlineStr">
        <is>
          <t>Diffuse large b cell lymphoma car t cell therapy in relapsed refractory disease</t>
        </is>
      </c>
      <c r="C87" s="8" t="inlineStr">
        <is>
          <t>Hematology &amp; Oncology</t>
        </is>
      </c>
      <c r="D87" s="9">
        <f>HYPERLINK("https://www.google.com/search?q=Diffuse%20large%20b%20cell%20lymphoma%20car%20t%20cell%20therapy%20in%20relapsed%20refractory%20disease%20clinical%20practice%20guideline%20pathyway", "Launch Live Guideline Search ↗")</f>
        <v/>
      </c>
    </row>
    <row r="88" ht="20" customHeight="1">
      <c r="A88" s="2" t="n">
        <v>87</v>
      </c>
      <c r="B88" s="3" t="inlineStr">
        <is>
          <t>DNACPR, treatment escalation planning and advance care planning</t>
        </is>
      </c>
      <c r="C88" s="4" t="inlineStr">
        <is>
          <t>Medical Ethics &amp; Palliative Care</t>
        </is>
      </c>
      <c r="D88" s="5">
        <f>HYPERLINK("https://www.google.com/search?q=DNACPR%2C%20treatment%20escalation%20planning%20and%20advance%20care%20planning%20clinical%20practice%20guideline%20pathyway", "Launch Live Guideline Search ↗")</f>
        <v/>
      </c>
    </row>
    <row r="89" ht="20" customHeight="1">
      <c r="A89" s="6" t="n">
        <v>88</v>
      </c>
      <c r="B89" s="7" t="inlineStr">
        <is>
          <t>Drug eruptions and severe cutaneous adverse reactions (SCAR)</t>
        </is>
      </c>
      <c r="C89" s="8" t="inlineStr">
        <is>
          <t>Dermatology &amp; Allergy</t>
        </is>
      </c>
      <c r="D89" s="9">
        <f>HYPERLINK("https://www.google.com/search?q=Drug%20eruptions%20and%20severe%20cutaneous%20adverse%20reactions%20%28SCAR%29%20clinical%20practice%20guideline%20pathyway", "Launch Live Guideline Search ↗")</f>
        <v/>
      </c>
    </row>
    <row r="90" ht="20" customHeight="1">
      <c r="A90" s="2" t="n">
        <v>89</v>
      </c>
      <c r="B90" s="3" t="inlineStr">
        <is>
          <t>Dupilumab il 4 il 13 inhibitor biologic therapy</t>
        </is>
      </c>
      <c r="C90" s="4" t="inlineStr">
        <is>
          <t>Dermatology &amp; Allergy</t>
        </is>
      </c>
      <c r="D90" s="5">
        <f>HYPERLINK("https://www.google.com/search?q=Dupilumab%20il%204%20il%2013%20inhibitor%20biologic%20therapy%20clinical%20practice%20guideline%20pathyway", "Launch Live Guideline Search ↗")</f>
        <v/>
      </c>
    </row>
    <row r="91" ht="20" customHeight="1">
      <c r="A91" s="6" t="n">
        <v>90</v>
      </c>
      <c r="B91" s="7" t="inlineStr">
        <is>
          <t>Durable LVAD therapy for advanced heart failure</t>
        </is>
      </c>
      <c r="C91" s="8" t="inlineStr">
        <is>
          <t>Cardiovascular Medicine</t>
        </is>
      </c>
      <c r="D91" s="9">
        <f>HYPERLINK("https://www.google.com/search?q=Durable%20LVAD%20therapy%20for%20advanced%20heart%20failure%20clinical%20practice%20guideline%20pathyway", "Launch Live Guideline Search ↗")</f>
        <v/>
      </c>
    </row>
    <row r="92" ht="20" customHeight="1">
      <c r="A92" s="2" t="n">
        <v>91</v>
      </c>
      <c r="B92" s="3" t="inlineStr">
        <is>
          <t>Dyslipidaemia and cardiovascular risk modification</t>
        </is>
      </c>
      <c r="C92" s="4" t="inlineStr">
        <is>
          <t>Cardiovascular Medicine</t>
        </is>
      </c>
      <c r="D92" s="5">
        <f>HYPERLINK("https://www.google.com/search?q=Dyslipidaemia%20and%20cardiovascular%20risk%20modification%20clinical%20practice%20guideline%20pathyway", "Launch Live Guideline Search ↗")</f>
        <v/>
      </c>
    </row>
    <row r="93" ht="20" customHeight="1">
      <c r="A93" s="6" t="n">
        <v>92</v>
      </c>
      <c r="B93" s="7" t="inlineStr">
        <is>
          <t>Eating disorders and refeeding syndrome</t>
        </is>
      </c>
      <c r="C93" s="8" t="inlineStr">
        <is>
          <t>Psychiatry &amp; Mental Health</t>
        </is>
      </c>
      <c r="D93" s="9">
        <f>HYPERLINK("https://www.google.com/search?q=Eating%20disorders%20and%20refeeding%20syndrome%20clinical%20practice%20guideline%20pathyway", "Launch Live Guideline Search ↗")</f>
        <v/>
      </c>
    </row>
    <row r="94" ht="20" customHeight="1">
      <c r="A94" s="2" t="n">
        <v>93</v>
      </c>
      <c r="B94" s="3" t="inlineStr">
        <is>
          <t>Ebola virus disease therapeutics and supportive care</t>
        </is>
      </c>
      <c r="C94" s="4" t="inlineStr">
        <is>
          <t>Infectious Diseases</t>
        </is>
      </c>
      <c r="D94" s="5">
        <f>HYPERLINK("https://www.google.com/search?q=Ebola%20virus%20disease%20therapeutics%20and%20supportive%20care%20clinical%20practice%20guideline%20pathyway", "Launch Live Guideline Search ↗")</f>
        <v/>
      </c>
    </row>
    <row r="95" ht="20" customHeight="1">
      <c r="A95" s="6" t="n">
        <v>94</v>
      </c>
      <c r="B95" s="7" t="inlineStr">
        <is>
          <t>Ectopic pregnancy: diagnosis and management</t>
        </is>
      </c>
      <c r="C95" s="8" t="inlineStr">
        <is>
          <t>Obstetrics &amp; Gynaecology</t>
        </is>
      </c>
      <c r="D95" s="9">
        <f>HYPERLINK("https://www.google.com/search?q=Ectopic%20pregnancy%3A%20diagnosis%20and%20management%20clinical%20practice%20guideline%20pathyway", "Launch Live Guideline Search ↗")</f>
        <v/>
      </c>
    </row>
    <row r="96" ht="20" customHeight="1">
      <c r="A96" s="2" t="n">
        <v>95</v>
      </c>
      <c r="B96" s="3" t="inlineStr">
        <is>
          <t>Emergency contraception: mechanisms, timing and clinical guidance</t>
        </is>
      </c>
      <c r="C96" s="4" t="inlineStr">
        <is>
          <t>Obstetrics &amp; Gynaecology</t>
        </is>
      </c>
      <c r="D96" s="5">
        <f>HYPERLINK("https://www.google.com/search?q=Emergency%20contraception%3A%20mechanisms%2C%20timing%20and%20clinical%20guidance%20clinical%20practice%20guideline%20pathyway", "Launch Live Guideline Search ↗")</f>
        <v/>
      </c>
    </row>
    <row r="97" ht="20" customHeight="1">
      <c r="A97" s="6" t="n">
        <v>96</v>
      </c>
      <c r="B97" s="7" t="inlineStr">
        <is>
          <t>Empagliflozin cardiovascular outcomes type 2 diabetes EMPA-REG</t>
        </is>
      </c>
      <c r="C97" s="8" t="inlineStr">
        <is>
          <t>Endocrinology &amp; Metabolism</t>
        </is>
      </c>
      <c r="D97" s="9">
        <f>HYPERLINK("https://www.google.com/search?q=Empagliflozin%20cardiovascular%20outcomes%20type%202%20diabetes%20EMPA-REG%20clinical%20practice%20guideline%20pathyway", "Launch Live Guideline Search ↗")</f>
        <v/>
      </c>
    </row>
    <row r="98" ht="20" customHeight="1">
      <c r="A98" s="2" t="n">
        <v>97</v>
      </c>
      <c r="B98" s="3" t="inlineStr">
        <is>
          <t>Empagliflozin chronic kidney disease progression</t>
        </is>
      </c>
      <c r="C98" s="4" t="inlineStr">
        <is>
          <t>Nephrology &amp; Urology</t>
        </is>
      </c>
      <c r="D98" s="5">
        <f>HYPERLINK("https://www.google.com/search?q=Empagliflozin%20chronic%20kidney%20disease%20progression%20clinical%20practice%20guideline%20pathyway", "Launch Live Guideline Search ↗")</f>
        <v/>
      </c>
    </row>
    <row r="99" ht="20" customHeight="1">
      <c r="A99" s="6" t="n">
        <v>98</v>
      </c>
      <c r="B99" s="7" t="inlineStr">
        <is>
          <t>Endocarditis and prophylaxis</t>
        </is>
      </c>
      <c r="C99" s="8" t="inlineStr">
        <is>
          <t>Infectious Diseases</t>
        </is>
      </c>
      <c r="D99" s="9">
        <f>HYPERLINK("https://www.google.com/search?q=Endocarditis%20and%20prophylaxis%20clinical%20practice%20guideline%20pathyway", "Launch Live Guideline Search ↗")</f>
        <v/>
      </c>
    </row>
    <row r="100" ht="20" customHeight="1">
      <c r="A100" s="2" t="n">
        <v>99</v>
      </c>
      <c r="B100" s="3" t="inlineStr">
        <is>
          <t>Endovascular thrombectomy time to treatment ischemic stroke meta-analysis</t>
        </is>
      </c>
      <c r="C100" s="4" t="inlineStr">
        <is>
          <t>Neurology &amp; Neurosurgery</t>
        </is>
      </c>
      <c r="D100" s="5">
        <f>HYPERLINK("https://www.google.com/search?q=Endovascular%20thrombectomy%20time%20to%20treatment%20ischemic%20stroke%20meta-analysis%20clinical%20practice%20guideline%20pathyway", "Launch Live Guideline Search ↗")</f>
        <v/>
      </c>
    </row>
    <row r="101" ht="20" customHeight="1">
      <c r="A101" s="6" t="n">
        <v>100</v>
      </c>
      <c r="B101" s="7" t="inlineStr">
        <is>
          <t>Eosinophilia Differential Diagnosis</t>
        </is>
      </c>
      <c r="C101" s="8" t="inlineStr">
        <is>
          <t>Hematology &amp; Oncology</t>
        </is>
      </c>
      <c r="D101" s="9">
        <f>HYPERLINK("https://www.google.com/search?q=Eosinophilia%20Differential%20Diagnosis%20clinical%20practice%20guideline%20pathyway", "Launch Live Guideline Search ↗")</f>
        <v/>
      </c>
    </row>
    <row r="102" ht="20" customHeight="1">
      <c r="A102" s="2" t="n">
        <v>101</v>
      </c>
      <c r="B102" s="3" t="inlineStr">
        <is>
          <t>Eosinophilic esophagitis topical steroid and elimination diet</t>
        </is>
      </c>
      <c r="C102" s="4" t="inlineStr">
        <is>
          <t>Gastroenterology &amp; General Surgery</t>
        </is>
      </c>
      <c r="D102" s="5">
        <f>HYPERLINK("https://www.google.com/search?q=Eosinophilic%20esophagitis%20topical%20steroid%20and%20elimination%20diet%20clinical%20practice%20guideline%20pathyway", "Launch Live Guideline Search ↗")</f>
        <v/>
      </c>
    </row>
    <row r="103" ht="20" customHeight="1">
      <c r="A103" s="6" t="n">
        <v>102</v>
      </c>
      <c r="B103" s="7" t="inlineStr">
        <is>
          <t>Epilepsy antiseizure medication selection</t>
        </is>
      </c>
      <c r="C103" s="8" t="inlineStr">
        <is>
          <t>Neurology &amp; Neurosurgery</t>
        </is>
      </c>
      <c r="D103" s="9">
        <f>HYPERLINK("https://www.google.com/search?q=Epilepsy%20antiseizure%20medication%20selection%20clinical%20practice%20guideline%20pathyway", "Launch Live Guideline Search ↗")</f>
        <v/>
      </c>
    </row>
    <row r="104" ht="20" customHeight="1">
      <c r="A104" s="2" t="n">
        <v>103</v>
      </c>
      <c r="B104" s="3" t="inlineStr">
        <is>
          <t>Epistaxis: assessment and management</t>
        </is>
      </c>
      <c r="C104" s="4" t="inlineStr">
        <is>
          <t>Otolaryngology (ENT)</t>
        </is>
      </c>
      <c r="D104" s="5">
        <f>HYPERLINK("https://www.google.com/search?q=Epistaxis%3A%20assessment%20and%20management%20clinical%20practice%20guideline%20pathyway", "Launch Live Guideline Search ↗")</f>
        <v/>
      </c>
    </row>
    <row r="105" ht="20" customHeight="1">
      <c r="A105" s="6" t="n">
        <v>104</v>
      </c>
      <c r="B105" s="7" t="inlineStr">
        <is>
          <t>Esophageal cancer neoadjuvant chemoradiation</t>
        </is>
      </c>
      <c r="C105" s="8" t="inlineStr">
        <is>
          <t>Hematology &amp; Oncology</t>
        </is>
      </c>
      <c r="D105" s="9">
        <f>HYPERLINK("https://www.google.com/search?q=Esophageal%20cancer%20neoadjuvant%20chemoradiation%20clinical%20practice%20guideline%20pathyway", "Launch Live Guideline Search ↗")</f>
        <v/>
      </c>
    </row>
    <row r="106" ht="20" customHeight="1">
      <c r="A106" s="2" t="n">
        <v>105</v>
      </c>
      <c r="B106" s="3" t="inlineStr">
        <is>
          <t>Hospital acquired and ventilator associated pneumonia</t>
        </is>
      </c>
      <c r="C106" s="4" t="inlineStr">
        <is>
          <t>Infectious Diseases</t>
        </is>
      </c>
      <c r="D106" s="5">
        <f>HYPERLINK("https://www.google.com/search?q=Hospital%20acquired%20and%20ventilator%20associated%20pneumonia%20clinical%20practice%20guideline%20pathyway", "Launch Live Guideline Search ↗")</f>
        <v/>
      </c>
    </row>
    <row r="107" ht="20" customHeight="1">
      <c r="A107" s="6" t="n">
        <v>106</v>
      </c>
      <c r="B107" s="7" t="inlineStr">
        <is>
          <t>HPV vaccination cervical intraepithelial neoplasia FUTURE II</t>
        </is>
      </c>
      <c r="C107" s="8" t="inlineStr">
        <is>
          <t>Obstetrics &amp; Gynaecology</t>
        </is>
      </c>
      <c r="D107" s="9">
        <f>HYPERLINK("https://www.google.com/search?q=HPV%20vaccination%20cervical%20intraepithelial%20neoplasia%20FUTURE%20II%20clinical%20practice%20guideline%20pathyway", "Launch Live Guideline Search ↗")</f>
        <v/>
      </c>
    </row>
    <row r="108" ht="20" customHeight="1">
      <c r="A108" s="2" t="n">
        <v>107</v>
      </c>
      <c r="B108" s="3" t="inlineStr">
        <is>
          <t>Hybrid closed loop insulin delivery in type 1 diabetes</t>
        </is>
      </c>
      <c r="C108" s="4" t="inlineStr">
        <is>
          <t>Endocrinology &amp; Metabolism</t>
        </is>
      </c>
      <c r="D108" s="5">
        <f>HYPERLINK("https://www.google.com/search?q=Hybrid%20closed%20loop%20insulin%20delivery%20in%20type%201%20diabetes%20clinical%20practice%20guideline%20pathyway", "Launch Live Guideline Search ↗")</f>
        <v/>
      </c>
    </row>
    <row r="109" ht="20" customHeight="1">
      <c r="A109" s="6" t="n">
        <v>108</v>
      </c>
      <c r="B109" s="7" t="inlineStr">
        <is>
          <t>Hypertensive disorders of pregnancy and pre-eclampsia</t>
        </is>
      </c>
      <c r="C109" s="8" t="inlineStr">
        <is>
          <t>Obstetrics &amp; Gynaecology</t>
        </is>
      </c>
      <c r="D109" s="9">
        <f>HYPERLINK("https://www.google.com/search?q=Hypertensive%20disorders%20of%20pregnancy%20and%20pre-eclampsia%20clinical%20practice%20guideline%20pathyway", "Launch Live Guideline Search ↗")</f>
        <v/>
      </c>
    </row>
    <row r="110" ht="20" customHeight="1">
      <c r="A110" s="2" t="n">
        <v>109</v>
      </c>
      <c r="B110" s="3" t="inlineStr">
        <is>
          <t>Hypogranular APL Morphology Pitfalls</t>
        </is>
      </c>
      <c r="C110" s="4" t="inlineStr">
        <is>
          <t>Hematology &amp; Oncology</t>
        </is>
      </c>
      <c r="D110" s="5">
        <f>HYPERLINK("https://www.google.com/search?q=Hypogranular%20APL%20Morphology%20Pitfalls%20clinical%20practice%20guideline%20pathyway", "Launch Live Guideline Search ↗")</f>
        <v/>
      </c>
    </row>
    <row r="111" ht="20" customHeight="1">
      <c r="A111" s="6" t="n">
        <v>110</v>
      </c>
      <c r="B111" s="7" t="inlineStr">
        <is>
          <t>ICU renal replacement therapy initiation timing</t>
        </is>
      </c>
      <c r="C111" s="8" t="inlineStr">
        <is>
          <t>Critical Care &amp; Emergency Medicine</t>
        </is>
      </c>
      <c r="D111" s="9">
        <f>HYPERLINK("https://www.google.com/search?q=ICU%20renal%20replacement%20therapy%20initiation%20timing%20clinical%20practice%20guideline%20pathyway", "Launch Live Guideline Search ↗")</f>
        <v/>
      </c>
    </row>
    <row r="112" ht="20" customHeight="1">
      <c r="A112" s="2" t="n">
        <v>111</v>
      </c>
      <c r="B112" s="3" t="inlineStr">
        <is>
          <t>Igg4 related disease diagnosis and b cell depletion</t>
        </is>
      </c>
      <c r="C112" s="4" t="inlineStr">
        <is>
          <t>Rheumatology &amp; Immunology</t>
        </is>
      </c>
      <c r="D112" s="5">
        <f>HYPERLINK("https://www.google.com/search?q=Igg4%20related%20disease%20diagnosis%20and%20b%20cell%20depletion%20clinical%20practice%20guideline%20pathyway", "Launch Live Guideline Search ↗")</f>
        <v/>
      </c>
    </row>
    <row r="113" ht="20" customHeight="1">
      <c r="A113" s="6" t="n">
        <v>112</v>
      </c>
      <c r="B113" s="7" t="inlineStr">
        <is>
          <t>Infective endocarditis antibiotic duration and surgery</t>
        </is>
      </c>
      <c r="C113" s="8" t="inlineStr">
        <is>
          <t>Infectious Diseases</t>
        </is>
      </c>
      <c r="D113" s="9">
        <f>HYPERLINK("https://www.google.com/search?q=Infective%20endocarditis%20antibiotic%20duration%20and%20surgery%20clinical%20practice%20guideline%20pathyway", "Launch Live Guideline Search ↗")</f>
        <v/>
      </c>
    </row>
    <row r="114" ht="20" customHeight="1">
      <c r="A114" s="2" t="n">
        <v>113</v>
      </c>
      <c r="B114" s="3" t="inlineStr">
        <is>
          <t>Infective endocarditis antimicrobial and oral step-down strategy</t>
        </is>
      </c>
      <c r="C114" s="4" t="inlineStr">
        <is>
          <t>Infectious Diseases</t>
        </is>
      </c>
      <c r="D114" s="5">
        <f>HYPERLINK("https://www.google.com/search?q=Infective%20endocarditis%20antimicrobial%20and%20oral%20step-down%20strategy%20clinical%20practice%20guideline%20pathyway", "Launch Live Guideline Search ↗")</f>
        <v/>
      </c>
    </row>
    <row r="115" ht="20" customHeight="1">
      <c r="A115" s="6" t="n">
        <v>114</v>
      </c>
      <c r="B115" s="7" t="inlineStr">
        <is>
          <t>Intensive blood pressure control cardiovascular outcomes systolic</t>
        </is>
      </c>
      <c r="C115" s="8" t="inlineStr">
        <is>
          <t>Cardiovascular Medicine</t>
        </is>
      </c>
      <c r="D115" s="9">
        <f>HYPERLINK("https://www.google.com/search?q=Intensive%20blood%20pressure%20control%20cardiovascular%20outcomes%20systolic%20clinical%20practice%20guideline%20pathyway", "Launch Live Guideline Search ↗")</f>
        <v/>
      </c>
    </row>
    <row r="116" ht="20" customHeight="1">
      <c r="A116" s="2" t="n">
        <v>115</v>
      </c>
      <c r="B116" s="3" t="inlineStr">
        <is>
          <t>Intensive glycemic targets in type 2 diabetes</t>
        </is>
      </c>
      <c r="C116" s="4" t="inlineStr">
        <is>
          <t>Endocrinology &amp; Metabolism</t>
        </is>
      </c>
      <c r="D116" s="5">
        <f>HYPERLINK("https://www.google.com/search?q=Intensive%20glycemic%20targets%20in%20type%202%20diabetes%20clinical%20practice%20guideline%20pathyway", "Launch Live Guideline Search ↗")</f>
        <v/>
      </c>
    </row>
    <row r="117" ht="20" customHeight="1">
      <c r="A117" s="6" t="n">
        <v>116</v>
      </c>
      <c r="B117" s="7" t="inlineStr">
        <is>
          <t>Intensive LDL cholesterol lowering statin meta-analysis</t>
        </is>
      </c>
      <c r="C117" s="8" t="inlineStr">
        <is>
          <t>Cardiovascular Medicine</t>
        </is>
      </c>
      <c r="D117" s="9">
        <f>HYPERLINK("https://www.google.com/search?q=Intensive%20LDL%20cholesterol%20lowering%20statin%20meta-analysis%20clinical%20practice%20guideline%20pathyway", "Launch Live Guideline Search ↗")</f>
        <v/>
      </c>
    </row>
    <row r="118" ht="20" customHeight="1">
      <c r="A118" s="2" t="n">
        <v>117</v>
      </c>
      <c r="B118" s="3" t="inlineStr">
        <is>
          <t>Intracerebral hemorrhage acute management</t>
        </is>
      </c>
      <c r="C118" s="4" t="inlineStr">
        <is>
          <t>Neurology &amp; Neurosurgery</t>
        </is>
      </c>
      <c r="D118" s="5">
        <f>HYPERLINK("https://www.google.com/search?q=Intracerebral%20hemorrhage%20acute%20management%20clinical%20practice%20guideline%20pathyway", "Launch Live Guideline Search ↗")</f>
        <v/>
      </c>
    </row>
    <row r="119" ht="20" customHeight="1">
      <c r="A119" s="6" t="n">
        <v>118</v>
      </c>
      <c r="B119" s="7" t="inlineStr">
        <is>
          <t>Invasive aspergillosis antifungal therapy</t>
        </is>
      </c>
      <c r="C119" s="8" t="inlineStr">
        <is>
          <t>Infectious Diseases</t>
        </is>
      </c>
      <c r="D119" s="9">
        <f>HYPERLINK("https://www.google.com/search?q=Invasive%20aspergillosis%20antifungal%20therapy%20clinical%20practice%20guideline%20pathyway", "Launch Live Guideline Search ↗")</f>
        <v/>
      </c>
    </row>
    <row r="120" ht="20" customHeight="1">
      <c r="A120" s="2" t="n">
        <v>119</v>
      </c>
      <c r="B120" s="3" t="inlineStr">
        <is>
          <t>Irradiated, Leukoreduced and Washed Blood Products</t>
        </is>
      </c>
      <c r="C120" s="4" t="inlineStr">
        <is>
          <t>Hematology &amp; Oncology</t>
        </is>
      </c>
      <c r="D120" s="5">
        <f>HYPERLINK("https://www.google.com/search?q=Irradiated%2C%20Leukoreduced%20and%20Washed%20Blood%20Products%20clinical%20practice%20guideline%20pathyway", "Launch Live Guideline Search ↗")</f>
        <v/>
      </c>
    </row>
    <row r="121" ht="20" customHeight="1">
      <c r="A121" s="6" t="n">
        <v>120</v>
      </c>
      <c r="B121" s="7" t="inlineStr">
        <is>
          <t>Ischaemic heart disease and acute coronary syndromes</t>
        </is>
      </c>
      <c r="C121" s="8" t="inlineStr">
        <is>
          <t>Cardiovascular Medicine</t>
        </is>
      </c>
      <c r="D121" s="9">
        <f>HYPERLINK("https://www.google.com/search?q=Ischaemic%20heart%20disease%20and%20acute%20coronary%20syndromes%20clinical%20practice%20guideline%20pathyway", "Launch Live Guideline Search ↗")</f>
        <v/>
      </c>
    </row>
    <row r="122" ht="20" customHeight="1">
      <c r="A122" s="2" t="n">
        <v>121</v>
      </c>
      <c r="B122" s="3" t="inlineStr">
        <is>
          <t>Juvenile idiopathic arthritis biologic strategy</t>
        </is>
      </c>
      <c r="C122" s="4" t="inlineStr">
        <is>
          <t>Pediatrics &amp; Neonatology</t>
        </is>
      </c>
      <c r="D122" s="5">
        <f>HYPERLINK("https://www.google.com/search?q=Juvenile%20idiopathic%20arthritis%20biologic%20strategy%20clinical%20practice%20guideline%20pathyway", "Launch Live Guideline Search ↗")</f>
        <v/>
      </c>
    </row>
    <row r="123" ht="20" customHeight="1">
      <c r="A123" s="6" t="n">
        <v>122</v>
      </c>
      <c r="B123" s="7" t="inlineStr">
        <is>
          <t>Kidney transplant antibody mediated rejection</t>
        </is>
      </c>
      <c r="C123" s="8" t="inlineStr">
        <is>
          <t>Nephrology &amp; Urology</t>
        </is>
      </c>
      <c r="D123" s="9">
        <f>HYPERLINK("https://www.google.com/search?q=Kidney%20transplant%20antibody%20mediated%20rejection%20clinical%20practice%20guideline%20pathyway", "Launch Live Guideline Search ↗")</f>
        <v/>
      </c>
    </row>
    <row r="124" ht="20" customHeight="1">
      <c r="A124" s="2" t="n">
        <v>123</v>
      </c>
      <c r="B124" s="3" t="inlineStr">
        <is>
          <t>Lateral epicondylitis (tennis elbow): assessment and management</t>
        </is>
      </c>
      <c r="C124" s="4" t="inlineStr">
        <is>
          <t>Orthopedics &amp; Rheumatology</t>
        </is>
      </c>
      <c r="D124" s="5">
        <f>HYPERLINK("https://www.google.com/search?q=Lateral%20epicondylitis%20%28tennis%20elbow%29%3A%20assessment%20and%20management%20clinical%20practice%20guideline%20pathyway", "Launch Live Guideline Search ↗")</f>
        <v/>
      </c>
    </row>
    <row r="125" ht="20" customHeight="1">
      <c r="A125" s="6" t="n">
        <v>124</v>
      </c>
      <c r="B125" s="7" t="inlineStr">
        <is>
          <t>Latex and perioperative allergy evaluation</t>
        </is>
      </c>
      <c r="C125" s="8" t="inlineStr">
        <is>
          <t>Dermatology &amp; Allergy</t>
        </is>
      </c>
      <c r="D125" s="9">
        <f>HYPERLINK("https://www.google.com/search?q=Latex%20and%20perioperative%20allergy%20evaluation%20clinical%20practice%20guideline%20pathyway", "Launch Live Guideline Search ↗")</f>
        <v/>
      </c>
    </row>
    <row r="126" ht="20" customHeight="1">
      <c r="A126" s="2" t="n">
        <v>125</v>
      </c>
      <c r="B126" s="3" t="inlineStr">
        <is>
          <t>Leflunomide, Sulfasalazine, and Hydroxychloroquine toxicities</t>
        </is>
      </c>
      <c r="C126" s="4" t="inlineStr">
        <is>
          <t>Rheumatology &amp; Immunology</t>
        </is>
      </c>
      <c r="D126" s="5">
        <f>HYPERLINK("https://www.google.com/search?q=Leflunomide%2C%20Sulfasalazine%2C%20and%20Hydroxychloroquine%20toxicities%20clinical%20practice%20guideline%20pathyway", "Launch Live Guideline Search ↗")</f>
        <v/>
      </c>
    </row>
    <row r="127" ht="20" customHeight="1">
      <c r="A127" s="6" t="n">
        <v>126</v>
      </c>
      <c r="B127" s="7" t="inlineStr">
        <is>
          <t>Leukaostasis Syndrome</t>
        </is>
      </c>
      <c r="C127" s="8" t="inlineStr">
        <is>
          <t>Hematology &amp; Oncology</t>
        </is>
      </c>
      <c r="D127" s="9">
        <f>HYPERLINK("https://www.google.com/search?q=Leukaostasis%20Syndrome%20clinical%20practice%20guideline%20pathyway", "Launch Live Guideline Search ↗")</f>
        <v/>
      </c>
    </row>
    <row r="128" ht="20" customHeight="1">
      <c r="A128" s="2" t="n">
        <v>127</v>
      </c>
      <c r="B128" s="3" t="inlineStr">
        <is>
          <t>Lithium monitoring and toxicity prevention</t>
        </is>
      </c>
      <c r="C128" s="4" t="inlineStr">
        <is>
          <t>Psychiatry &amp; Mental Health</t>
        </is>
      </c>
      <c r="D128" s="5">
        <f>HYPERLINK("https://www.google.com/search?q=Lithium%20monitoring%20and%20toxicity%20prevention%20clinical%20practice%20guideline%20pathyway", "Launch Live Guideline Search ↗")</f>
        <v/>
      </c>
    </row>
    <row r="129" ht="20" customHeight="1">
      <c r="A129" s="6" t="n">
        <v>128</v>
      </c>
      <c r="B129" s="7" t="inlineStr">
        <is>
          <t>Lyme disease diagnosis and treatment</t>
        </is>
      </c>
      <c r="C129" s="8" t="inlineStr">
        <is>
          <t>Infectious Diseases</t>
        </is>
      </c>
      <c r="D129" s="9">
        <f>HYPERLINK("https://www.google.com/search?q=Lyme%20disease%20diagnosis%20and%20treatment%20clinical%20practice%20guideline%20pathyway", "Launch Live Guideline Search ↗")</f>
        <v/>
      </c>
    </row>
    <row r="130" ht="20" customHeight="1">
      <c r="A130" s="2" t="n">
        <v>129</v>
      </c>
      <c r="B130" s="3" t="inlineStr">
        <is>
          <t>Male hypogonadism testosterone replacement</t>
        </is>
      </c>
      <c r="C130" s="4" t="inlineStr">
        <is>
          <t>Endocrinology &amp; Metabolism</t>
        </is>
      </c>
      <c r="D130" s="5">
        <f>HYPERLINK("https://www.google.com/search?q=Male%20hypogonadism%20testosterone%20replacement%20clinical%20practice%20guideline%20pathyway", "Launch Live Guideline Search ↗")</f>
        <v/>
      </c>
    </row>
    <row r="131" ht="20" customHeight="1">
      <c r="A131" s="6" t="n">
        <v>130</v>
      </c>
      <c r="B131" s="7" t="inlineStr">
        <is>
          <t>Malnutrition screening: MUST, NRS-2002, and nutritional support</t>
        </is>
      </c>
      <c r="C131" s="8" t="inlineStr">
        <is>
          <t>Gastroenterology &amp; General Surgery</t>
        </is>
      </c>
      <c r="D131" s="9">
        <f>HYPERLINK("https://www.google.com/search?q=Malnutrition%20screening%3A%20MUST%2C%20NRS-2002%2C%20and%20nutritional%20support%20clinical%20practice%20guideline%20pathyway", "Launch Live Guideline Search ↗")</f>
        <v/>
      </c>
    </row>
    <row r="132" ht="20" customHeight="1">
      <c r="A132" s="2" t="n">
        <v>131</v>
      </c>
      <c r="B132" s="3" t="inlineStr">
        <is>
          <t>Management of HF with Reduced ejection fraction</t>
        </is>
      </c>
      <c r="C132" s="4" t="inlineStr">
        <is>
          <t>Cardiovascular Medicine</t>
        </is>
      </c>
      <c r="D132" s="5">
        <f>HYPERLINK("https://www.google.com/search?q=Management%20of%20HF%20with%20Reduced%20ejection%20fraction%20clinical%20practice%20guideline%20pathyway", "Launch Live Guideline Search ↗")</f>
        <v/>
      </c>
    </row>
    <row r="133" ht="20" customHeight="1">
      <c r="A133" s="6" t="n">
        <v>132</v>
      </c>
      <c r="B133" s="7" t="inlineStr">
        <is>
          <t>Mechanical low back pain: assessment, red flags and management</t>
        </is>
      </c>
      <c r="C133" s="8" t="inlineStr">
        <is>
          <t>Orthopedics &amp; Rheumatology</t>
        </is>
      </c>
      <c r="D133" s="9">
        <f>HYPERLINK("https://www.google.com/search?q=Mechanical%20low%20back%20pain%3A%20assessment%2C%20red%20flags%20and%20management%20clinical%20practice%20guideline%20pathyway", "Launch Live Guideline Search ↗")</f>
        <v/>
      </c>
    </row>
    <row r="134" ht="20" customHeight="1">
      <c r="A134" s="2" t="n">
        <v>133</v>
      </c>
      <c r="B134" s="3" t="inlineStr">
        <is>
          <t>Menopausal hormone therapy risks and benefits</t>
        </is>
      </c>
      <c r="C134" s="4" t="inlineStr">
        <is>
          <t>Obstetrics &amp; Gynaecology</t>
        </is>
      </c>
      <c r="D134" s="5">
        <f>HYPERLINK("https://www.google.com/search?q=Menopausal%20hormone%20therapy%20risks%20and%20benefits%20clinical%20practice%20guideline%20pathyway", "Launch Live Guideline Search ↗")</f>
        <v/>
      </c>
    </row>
    <row r="135" ht="20" customHeight="1">
      <c r="A135" s="6" t="n">
        <v>134</v>
      </c>
      <c r="B135" s="7" t="inlineStr">
        <is>
          <t>Menopause and hormone replacement therapy: evidence and guidance</t>
        </is>
      </c>
      <c r="C135" s="8" t="inlineStr">
        <is>
          <t>Obstetrics &amp; Gynaecology</t>
        </is>
      </c>
      <c r="D135" s="9">
        <f>HYPERLINK("https://www.google.com/search?q=Menopause%20and%20hormone%20replacement%20therapy%3A%20evidence%20and%20guidance%20clinical%20practice%20guideline%20pathyway", "Launch Live Guideline Search ↗")</f>
        <v/>
      </c>
    </row>
    <row r="136" ht="20" customHeight="1">
      <c r="A136" s="2" t="n">
        <v>135</v>
      </c>
      <c r="B136" s="3" t="inlineStr">
        <is>
          <t>Mental capacity, consent and best-interest decisions</t>
        </is>
      </c>
      <c r="C136" s="4" t="inlineStr">
        <is>
          <t>Medical Ethics &amp; Palliative Care</t>
        </is>
      </c>
      <c r="D136" s="5">
        <f>HYPERLINK("https://www.google.com/search?q=Mental%20capacity%2C%20consent%20and%20best-interest%20decisions%20clinical%20practice%20guideline%20pathyway", "Launch Live Guideline Search ↗")</f>
        <v/>
      </c>
    </row>
    <row r="137" ht="20" customHeight="1">
      <c r="A137" s="6" t="n">
        <v>136</v>
      </c>
      <c r="B137" s="7" t="inlineStr">
        <is>
          <t>Metformin diabetes</t>
        </is>
      </c>
      <c r="C137" s="8" t="inlineStr">
        <is>
          <t>Endocrinology &amp; Metabolism</t>
        </is>
      </c>
      <c r="D137" s="9">
        <f>HYPERLINK("https://www.google.com/search?q=Metformin%20diabetes%20clinical%20practice%20guideline%20pathyway", "Launch Live Guideline Search ↗")</f>
        <v/>
      </c>
    </row>
    <row r="138" ht="20" customHeight="1">
      <c r="A138" s="2" t="n">
        <v>137</v>
      </c>
      <c r="B138" s="3" t="inlineStr">
        <is>
          <t>Methotrexate early rheumatoid arthritis combination therapy TEAR</t>
        </is>
      </c>
      <c r="C138" s="4" t="inlineStr">
        <is>
          <t>Rheumatology &amp; Immunology</t>
        </is>
      </c>
      <c r="D138" s="5">
        <f>HYPERLINK("https://www.google.com/search?q=Methotrexate%20early%20rheumatoid%20arthritis%20combination%20therapy%20TEAR%20clinical%20practice%20guideline%20pathyway", "Launch Live Guideline Search ↗")</f>
        <v/>
      </c>
    </row>
    <row r="139" ht="20" customHeight="1">
      <c r="A139" s="6" t="n">
        <v>138</v>
      </c>
      <c r="B139" s="7" t="inlineStr">
        <is>
          <t>Methylene blue in vasoplegic shock</t>
        </is>
      </c>
      <c r="C139" s="8" t="inlineStr">
        <is>
          <t>Critical Care &amp; Emergency Medicine</t>
        </is>
      </c>
      <c r="D139" s="9">
        <f>HYPERLINK("https://www.google.com/search?q=Methylene%20blue%20in%20vasoplegic%20shock%20clinical%20practice%20guideline%20pathyway", "Launch Live Guideline Search ↗")</f>
        <v/>
      </c>
    </row>
    <row r="140" ht="20" customHeight="1">
      <c r="A140" s="2" t="n">
        <v>139</v>
      </c>
      <c r="B140" s="3" t="inlineStr">
        <is>
          <t>Metylene blue in vasoplegic shock</t>
        </is>
      </c>
      <c r="C140" s="4" t="inlineStr">
        <is>
          <t>Critical Care &amp; Emergency Medicine</t>
        </is>
      </c>
      <c r="D140" s="5">
        <f>HYPERLINK("https://www.google.com/search?q=Metylene%20blue%20in%20vasoplegic%20shock%20clinical%20practice%20guideline%20pathyway", "Launch Live Guideline Search ↗")</f>
        <v/>
      </c>
    </row>
    <row r="141" ht="20" customHeight="1">
      <c r="A141" s="6" t="n">
        <v>140</v>
      </c>
      <c r="B141" s="7" t="inlineStr">
        <is>
          <t>Mineralocorticoid receptor antagonists in heart failure</t>
        </is>
      </c>
      <c r="C141" s="8" t="inlineStr">
        <is>
          <t>Cardiovascular Medicine</t>
        </is>
      </c>
      <c r="D141" s="9">
        <f>HYPERLINK("https://www.google.com/search?q=Mineralocorticoid%20receptor%20antagonists%20in%20heart%20failure%20clinical%20practice%20guideline%20pathyway", "Launch Live Guideline Search ↗")</f>
        <v/>
      </c>
    </row>
    <row r="142" ht="20" customHeight="1">
      <c r="A142" s="2" t="n">
        <v>141</v>
      </c>
      <c r="B142" s="3" t="inlineStr">
        <is>
          <t>Miscarriage: diagnosis, classification and management</t>
        </is>
      </c>
      <c r="C142" s="4" t="inlineStr">
        <is>
          <t>Obstetrics &amp; Gynaecology</t>
        </is>
      </c>
      <c r="D142" s="5">
        <f>HYPERLINK("https://www.google.com/search?q=Miscarriage%3A%20diagnosis%2C%20classification%20and%20management%20clinical%20practice%20guideline%20pathyway", "Launch Live Guideline Search ↗")</f>
        <v/>
      </c>
    </row>
    <row r="143" ht="20" customHeight="1">
      <c r="A143" s="6" t="n">
        <v>142</v>
      </c>
      <c r="B143" s="7" t="inlineStr">
        <is>
          <t>Mitral regurgitation teer mitraclip</t>
        </is>
      </c>
      <c r="C143" s="8" t="inlineStr">
        <is>
          <t>Cardiovascular Medicine</t>
        </is>
      </c>
      <c r="D143" s="9">
        <f>HYPERLINK("https://www.google.com/search?q=Mitral%20regurgitation%20teer%20mitraclip%20clinical%20practice%20guideline%20pathyway", "Launch Live Guideline Search ↗")</f>
        <v/>
      </c>
    </row>
    <row r="144" ht="20" customHeight="1">
      <c r="A144" s="2" t="n">
        <v>143</v>
      </c>
      <c r="B144" s="3" t="inlineStr">
        <is>
          <t>Multiple myeloma: daratumumab-based frontline therapy</t>
        </is>
      </c>
      <c r="C144" s="4" t="inlineStr">
        <is>
          <t>Hematology &amp; Oncology</t>
        </is>
      </c>
      <c r="D144" s="5">
        <f>HYPERLINK("https://www.google.com/search?q=Multiple%20myeloma%3A%20daratumumab-based%20frontline%20therapy%20clinical%20practice%20guideline%20pathyway", "Launch Live Guideline Search ↗")</f>
        <v/>
      </c>
    </row>
    <row r="145" ht="20" customHeight="1">
      <c r="A145" s="6" t="n">
        <v>144</v>
      </c>
      <c r="B145" s="7" t="inlineStr">
        <is>
          <t>Multiple myeloma: VRd versus Rd for newly diagnosed disease</t>
        </is>
      </c>
      <c r="C145" s="8" t="inlineStr">
        <is>
          <t>Hematology &amp; Oncology</t>
        </is>
      </c>
      <c r="D145" s="9">
        <f>HYPERLINK("https://www.google.com/search?q=Multiple%20myeloma%3A%20VRd%20versus%20Rd%20for%20newly%20diagnosed%20disease%20clinical%20practice%20guideline%20pathyway", "Launch Live Guideline Search ↗")</f>
        <v/>
      </c>
    </row>
    <row r="146" ht="20" customHeight="1">
      <c r="A146" s="2" t="n">
        <v>145</v>
      </c>
      <c r="B146" s="3" t="inlineStr">
        <is>
          <t>Myasthenia gravis targeted immunotherapy</t>
        </is>
      </c>
      <c r="C146" s="4" t="inlineStr">
        <is>
          <t>Neurology &amp; Neurosurgery</t>
        </is>
      </c>
      <c r="D146" s="5">
        <f>HYPERLINK("https://www.google.com/search?q=Myasthenia%20gravis%20targeted%20immunotherapy%20clinical%20practice%20guideline%20pathyway", "Launch Live Guideline Search ↗")</f>
        <v/>
      </c>
    </row>
    <row r="147" ht="20" customHeight="1">
      <c r="A147" s="6" t="n">
        <v>146</v>
      </c>
      <c r="B147" s="7" t="inlineStr">
        <is>
          <t>Myelofibrosis: JAK inhibition with ruxolitinib</t>
        </is>
      </c>
      <c r="C147" s="8" t="inlineStr">
        <is>
          <t>Hematology &amp; Oncology</t>
        </is>
      </c>
      <c r="D147" s="9">
        <f>HYPERLINK("https://www.google.com/search?q=Myelofibrosis%3A%20JAK%20inhibition%20with%20ruxolitinib%20clinical%20practice%20guideline%20pathyway", "Launch Live Guideline Search ↗")</f>
        <v/>
      </c>
    </row>
    <row r="148" ht="20" customHeight="1">
      <c r="A148" s="2" t="n">
        <v>147</v>
      </c>
      <c r="B148" s="3" t="inlineStr">
        <is>
          <t>Neonatal jaundice: assessment, phototherapy and exchange transfusion</t>
        </is>
      </c>
      <c r="C148" s="4" t="inlineStr">
        <is>
          <t>Pediatrics &amp; Neonatology</t>
        </is>
      </c>
      <c r="D148" s="5">
        <f>HYPERLINK("https://www.google.com/search?q=Neonatal%20jaundice%3A%20assessment%2C%20phototherapy%20and%20exchange%20transfusion%20clinical%20practice%20guideline%20pathyway", "Launch Live Guideline Search ↗")</f>
        <v/>
      </c>
    </row>
    <row r="149" ht="20" customHeight="1">
      <c r="A149" s="6" t="n">
        <v>148</v>
      </c>
      <c r="B149" s="7" t="inlineStr">
        <is>
          <t>Neuromyelitis optica spectrum disorder biologic therapy</t>
        </is>
      </c>
      <c r="C149" s="8" t="inlineStr">
        <is>
          <t>Neurology &amp; Neurosurgery</t>
        </is>
      </c>
      <c r="D149" s="9">
        <f>HYPERLINK("https://www.google.com/search?q=Neuromyelitis%20optica%20spectrum%20disorder%20biologic%20therapy%20clinical%20practice%20guideline%20pathyway", "Launch Live Guideline Search ↗")</f>
        <v/>
      </c>
    </row>
    <row r="150" ht="20" customHeight="1">
      <c r="A150" s="2" t="n">
        <v>149</v>
      </c>
      <c r="B150" s="3" t="inlineStr">
        <is>
          <t>Nivolumab ipilimumab advanced melanoma overall survival</t>
        </is>
      </c>
      <c r="C150" s="4" t="inlineStr">
        <is>
          <t>Hematology &amp; Oncology</t>
        </is>
      </c>
      <c r="D150" s="5">
        <f>HYPERLINK("https://www.google.com/search?q=Nivolumab%20ipilimumab%20advanced%20melanoma%20overall%20survival%20clinical%20practice%20guideline%20pathyway", "Launch Live Guideline Search ↗")</f>
        <v/>
      </c>
    </row>
    <row r="151" ht="20" customHeight="1">
      <c r="A151" s="6" t="n">
        <v>150</v>
      </c>
      <c r="B151" s="7" t="inlineStr">
        <is>
          <t>Noninfectious uveitis biologic therapy</t>
        </is>
      </c>
      <c r="C151" s="8" t="inlineStr">
        <is>
          <t>Ophthalmology</t>
        </is>
      </c>
      <c r="D151" s="9">
        <f>HYPERLINK("https://www.google.com/search?q=Noninfectious%20uveitis%20biologic%20therapy%20clinical%20practice%20guideline%20pathyway", "Launch Live Guideline Search ↗")</f>
        <v/>
      </c>
    </row>
    <row r="152" ht="20" customHeight="1">
      <c r="A152" s="2" t="n">
        <v>151</v>
      </c>
      <c r="B152" s="3" t="inlineStr">
        <is>
          <t>Noninvasive ventilation for acute respiratory failure</t>
        </is>
      </c>
      <c r="C152" s="4" t="inlineStr">
        <is>
          <t>Respiratory Medicine</t>
        </is>
      </c>
      <c r="D152" s="5">
        <f>HYPERLINK("https://www.google.com/search?q=Noninvasive%20ventilation%20for%20acute%20respiratory%20failure%20clinical%20practice%20guideline%20pathyway", "Launch Live Guideline Search ↗")</f>
        <v/>
      </c>
    </row>
    <row r="153" ht="20" customHeight="1">
      <c r="A153" s="6" t="n">
        <v>152</v>
      </c>
      <c r="B153" s="7" t="inlineStr">
        <is>
          <t>Opioid Rotation and Equianalgesic Dosing</t>
        </is>
      </c>
      <c r="C153" s="8" t="inlineStr">
        <is>
          <t>Pain Management &amp; Opioids</t>
        </is>
      </c>
      <c r="D153" s="9">
        <f>HYPERLINK("https://www.google.com/search?q=Opioid%20Rotation%20and%20Equianalgesic%20Dosing%20clinical%20practice%20guideline%20pathyway", "Launch Live Guideline Search ↗")</f>
        <v/>
      </c>
    </row>
    <row r="154" ht="20" customHeight="1">
      <c r="A154" s="2" t="n">
        <v>153</v>
      </c>
      <c r="B154" s="3" t="inlineStr">
        <is>
          <t>Opioid use disorder buprenorphine and methadone</t>
        </is>
      </c>
      <c r="C154" s="4" t="inlineStr">
        <is>
          <t>Psychiatry &amp; Mental Health</t>
        </is>
      </c>
      <c r="D154" s="5">
        <f>HYPERLINK("https://www.google.com/search?q=Opioid%20use%20disorder%20buprenorphine%20and%20methadone%20clinical%20practice%20guideline%20pathyway", "Launch Live Guideline Search ↗")</f>
        <v/>
      </c>
    </row>
    <row r="155" ht="20" customHeight="1">
      <c r="A155" s="6" t="n">
        <v>154</v>
      </c>
      <c r="B155" s="7" t="inlineStr">
        <is>
          <t>Opioid use disorder: withdrawal, maintenance therapy and harm reduction</t>
        </is>
      </c>
      <c r="C155" s="8" t="inlineStr">
        <is>
          <t>Psychiatry &amp; Mental Health</t>
        </is>
      </c>
      <c r="D155" s="9">
        <f>HYPERLINK("https://www.google.com/search?q=Opioid%20use%20disorder%3A%20withdrawal%2C%20maintenance%20therapy%20and%20harm%20reduction%20clinical%20practice%20guideline%20pathyway", "Launch Live Guideline Search ↗")</f>
        <v/>
      </c>
    </row>
    <row r="156" ht="20" customHeight="1">
      <c r="A156" s="2" t="n">
        <v>155</v>
      </c>
      <c r="B156" s="3" t="inlineStr">
        <is>
          <t>Orbital and periorbital cellulitis: classification and management</t>
        </is>
      </c>
      <c r="C156" s="4" t="inlineStr">
        <is>
          <t>Ophthalmology</t>
        </is>
      </c>
      <c r="D156" s="5">
        <f>HYPERLINK("https://www.google.com/search?q=Orbital%20and%20periorbital%20cellulitis%3A%20classification%20and%20management%20clinical%20practice%20guideline%20pathyway", "Launch Live Guideline Search ↗")</f>
        <v/>
      </c>
    </row>
    <row r="157" ht="20" customHeight="1">
      <c r="A157" s="6" t="n">
        <v>156</v>
      </c>
      <c r="B157" s="7" t="inlineStr">
        <is>
          <t>Orthostatic hypotension: diagnosis and management in older adults</t>
        </is>
      </c>
      <c r="C157" s="8" t="inlineStr">
        <is>
          <t>Geriatrics &amp; Neurology</t>
        </is>
      </c>
      <c r="D157" s="9">
        <f>HYPERLINK("https://www.google.com/search?q=Orthostatic%20hypotension%3A%20diagnosis%20and%20management%20in%20older%20adults%20clinical%20practice%20guideline%20pathyway", "Launch Live Guideline Search ↗")</f>
        <v/>
      </c>
    </row>
    <row r="158" ht="20" customHeight="1">
      <c r="A158" s="2" t="n">
        <v>157</v>
      </c>
      <c r="B158" s="3" t="inlineStr">
        <is>
          <t>Oseltamivir treatment influenza healthy adults</t>
        </is>
      </c>
      <c r="C158" s="4" t="inlineStr">
        <is>
          <t>Infectious Diseases</t>
        </is>
      </c>
      <c r="D158" s="5">
        <f>HYPERLINK("https://www.google.com/search?q=Oseltamivir%20treatment%20influenza%20healthy%20adults%20clinical%20practice%20guideline%20pathyway", "Launch Live Guideline Search ↗")</f>
        <v/>
      </c>
    </row>
    <row r="159" ht="20" customHeight="1">
      <c r="A159" s="6" t="n">
        <v>158</v>
      </c>
      <c r="B159" s="7" t="inlineStr">
        <is>
          <t>Otitis media, otitis externa and mastoiditis</t>
        </is>
      </c>
      <c r="C159" s="8" t="inlineStr">
        <is>
          <t>Otolaryngology (ENT)</t>
        </is>
      </c>
      <c r="D159" s="9">
        <f>HYPERLINK("https://www.google.com/search?q=Otitis%20media%2C%20otitis%20externa%20and%20mastoiditis%20clinical%20practice%20guideline%20pathyway", "Launch Live Guideline Search ↗")</f>
        <v/>
      </c>
    </row>
    <row r="160" ht="20" customHeight="1">
      <c r="A160" s="2" t="n">
        <v>159</v>
      </c>
      <c r="B160" s="3" t="inlineStr">
        <is>
          <t>Outpatient parenteral antimicrobial therapy program safety</t>
        </is>
      </c>
      <c r="C160" s="4" t="inlineStr">
        <is>
          <t>Infectious Diseases</t>
        </is>
      </c>
      <c r="D160" s="5">
        <f>HYPERLINK("https://www.google.com/search?q=Outpatient%20parenteral%20antimicrobial%20therapy%20program%20safety%20clinical%20practice%20guideline%20pathyway", "Launch Live Guideline Search ↗")</f>
        <v/>
      </c>
    </row>
    <row r="161" ht="20" customHeight="1">
      <c r="A161" s="6" t="n">
        <v>160</v>
      </c>
      <c r="B161" s="7" t="inlineStr">
        <is>
          <t>Pancreatic cancer systemic and adjuvant therapy</t>
        </is>
      </c>
      <c r="C161" s="8" t="inlineStr">
        <is>
          <t>Hematology &amp; Oncology</t>
        </is>
      </c>
      <c r="D161" s="9">
        <f>HYPERLINK("https://www.google.com/search?q=Pancreatic%20cancer%20systemic%20and%20adjuvant%20therapy%20clinical%20practice%20guideline%20pathyway", "Launch Live Guideline Search ↗")</f>
        <v/>
      </c>
    </row>
    <row r="162" ht="20" customHeight="1">
      <c r="A162" s="2" t="n">
        <v>161</v>
      </c>
      <c r="B162" s="3" t="inlineStr">
        <is>
          <t>Pancytopenia Diagnostic Workup</t>
        </is>
      </c>
      <c r="C162" s="4" t="inlineStr">
        <is>
          <t>Hematology &amp; Oncology</t>
        </is>
      </c>
      <c r="D162" s="5">
        <f>HYPERLINK("https://www.google.com/search?q=Pancytopenia%20Diagnostic%20Workup%20clinical%20practice%20guideline%20pathyway", "Launch Live Guideline Search ↗")</f>
        <v/>
      </c>
    </row>
    <row r="163" ht="20" customHeight="1">
      <c r="A163" s="6" t="n">
        <v>162</v>
      </c>
      <c r="B163" s="7" t="inlineStr">
        <is>
          <t>Parkinson disease motor complications</t>
        </is>
      </c>
      <c r="C163" s="8" t="inlineStr">
        <is>
          <t>Neurology &amp; Neurosurgery</t>
        </is>
      </c>
      <c r="D163" s="9">
        <f>HYPERLINK("https://www.google.com/search?q=Parkinson%20disease%20motor%20complications%20clinical%20practice%20guideline%20pathyway", "Launch Live Guideline Search ↗")</f>
        <v/>
      </c>
    </row>
    <row r="164" ht="20" customHeight="1">
      <c r="A164" s="2" t="n">
        <v>163</v>
      </c>
      <c r="B164" s="3" t="inlineStr">
        <is>
          <t>Patent foramen ovale closure after cryptogenic stroke</t>
        </is>
      </c>
      <c r="C164" s="4" t="inlineStr">
        <is>
          <t>Cardiovascular Medicine</t>
        </is>
      </c>
      <c r="D164" s="5">
        <f>HYPERLINK("https://www.google.com/search?q=Patent%20foramen%20ovale%20closure%20after%20cryptogenic%20stroke%20clinical%20practice%20guideline%20pathyway", "Launch Live Guideline Search ↗")</f>
        <v/>
      </c>
    </row>
    <row r="165" ht="20" customHeight="1">
      <c r="A165" s="6" t="n">
        <v>164</v>
      </c>
      <c r="B165" s="7" t="inlineStr">
        <is>
          <t>PCSK9 inhibitor evolocumab cardiovascular outcomes</t>
        </is>
      </c>
      <c r="C165" s="8" t="inlineStr">
        <is>
          <t>Cardiovascular Medicine</t>
        </is>
      </c>
      <c r="D165" s="9">
        <f>HYPERLINK("https://www.google.com/search?q=PCSK9%20inhibitor%20evolocumab%20cardiovascular%20outcomes%20clinical%20practice%20guideline%20pathyway", "Launch Live Guideline Search ↗")</f>
        <v/>
      </c>
    </row>
    <row r="166" ht="20" customHeight="1">
      <c r="A166" s="2" t="n">
        <v>165</v>
      </c>
      <c r="B166" s="3" t="inlineStr">
        <is>
          <t>Pelvic inflammatory disease: diagnosis and treatment</t>
        </is>
      </c>
      <c r="C166" s="4" t="inlineStr">
        <is>
          <t>Obstetrics &amp; Gynaecology</t>
        </is>
      </c>
      <c r="D166" s="5">
        <f>HYPERLINK("https://www.google.com/search?q=Pelvic%20inflammatory%20disease%3A%20diagnosis%20and%20treatment%20clinical%20practice%20guideline%20pathyway", "Launch Live Guideline Search ↗")</f>
        <v/>
      </c>
    </row>
    <row r="167" ht="20" customHeight="1">
      <c r="A167" s="6" t="n">
        <v>166</v>
      </c>
      <c r="B167" s="7" t="inlineStr">
        <is>
          <t>Pembrolizumab plus chemotherapy metastatic non-small cell lung cancer</t>
        </is>
      </c>
      <c r="C167" s="8" t="inlineStr">
        <is>
          <t>Hematology &amp; Oncology</t>
        </is>
      </c>
      <c r="D167" s="9">
        <f>HYPERLINK("https://www.google.com/search?q=Pembrolizumab%20plus%20chemotherapy%20metastatic%20non-small%20cell%20lung%20cancer%20clinical%20practice%20guideline%20pathyway", "Launch Live Guideline Search ↗")</f>
        <v/>
      </c>
    </row>
    <row r="168" ht="20" customHeight="1">
      <c r="A168" s="2" t="n">
        <v>167</v>
      </c>
      <c r="B168" s="3" t="inlineStr">
        <is>
          <t>Penicillin allergy delabeling and testing</t>
        </is>
      </c>
      <c r="C168" s="4" t="inlineStr">
        <is>
          <t>Dermatology &amp; Allergy</t>
        </is>
      </c>
      <c r="D168" s="5">
        <f>HYPERLINK("https://www.google.com/search?q=Penicillin%20allergy%20delabeling%20and%20testing%20clinical%20practice%20guideline%20pathyway", "Launch Live Guideline Search ↗")</f>
        <v/>
      </c>
    </row>
    <row r="169" ht="20" customHeight="1">
      <c r="A169" s="6" t="n">
        <v>168</v>
      </c>
      <c r="B169" s="7" t="inlineStr">
        <is>
          <t>Penicillin allergy evaluation and delabeling</t>
        </is>
      </c>
      <c r="C169" s="8" t="inlineStr">
        <is>
          <t>Dermatology &amp; Allergy</t>
        </is>
      </c>
      <c r="D169" s="9">
        <f>HYPERLINK("https://www.google.com/search?q=Penicillin%20allergy%20evaluation%20and%20delabeling%20clinical%20practice%20guideline%20pathyway", "Launch Live Guideline Search ↗")</f>
        <v/>
      </c>
    </row>
    <row r="170" ht="20" customHeight="1">
      <c r="A170" s="2" t="n">
        <v>169</v>
      </c>
      <c r="B170" s="3" t="inlineStr">
        <is>
          <t>Perinatal depression screening and treatment</t>
        </is>
      </c>
      <c r="C170" s="4" t="inlineStr">
        <is>
          <t>Psychiatry &amp; Mental Health</t>
        </is>
      </c>
      <c r="D170" s="5">
        <f>HYPERLINK("https://www.google.com/search?q=Perinatal%20depression%20screening%20and%20treatment%20clinical%20practice%20guideline%20pathyway", "Launch Live Guideline Search ↗")</f>
        <v/>
      </c>
    </row>
    <row r="171" ht="20" customHeight="1">
      <c r="A171" s="6" t="n">
        <v>170</v>
      </c>
      <c r="B171" s="7" t="inlineStr">
        <is>
          <t>Perioperative antiplatelet and anticoagulant management</t>
        </is>
      </c>
      <c r="C171" s="8" t="inlineStr">
        <is>
          <t>Critical Care &amp; Emergency Medicine</t>
        </is>
      </c>
      <c r="D171" s="9">
        <f>HYPERLINK("https://www.google.com/search?q=Perioperative%20antiplatelet%20and%20anticoagulant%20management%20clinical%20practice%20guideline%20pathyway", "Launch Live Guideline Search ↗")</f>
        <v/>
      </c>
    </row>
    <row r="172" ht="20" customHeight="1">
      <c r="A172" s="2" t="n">
        <v>171</v>
      </c>
      <c r="B172" s="3" t="inlineStr">
        <is>
          <t>Perioperative diabetes management</t>
        </is>
      </c>
      <c r="C172" s="4" t="inlineStr">
        <is>
          <t>Endocrinology &amp; Metabolism</t>
        </is>
      </c>
      <c r="D172" s="5">
        <f>HYPERLINK("https://www.google.com/search?q=Perioperative%20diabetes%20management%20clinical%20practice%20guideline%20pathyway", "Launch Live Guideline Search ↗")</f>
        <v/>
      </c>
    </row>
    <row r="173" ht="20" customHeight="1">
      <c r="A173" s="6" t="n">
        <v>172</v>
      </c>
      <c r="B173" s="7" t="inlineStr">
        <is>
          <t>Perioperative management of common comorbidities</t>
        </is>
      </c>
      <c r="C173" s="8" t="inlineStr">
        <is>
          <t>Critical Care &amp; Emergency Medicine</t>
        </is>
      </c>
      <c r="D173" s="9">
        <f>HYPERLINK("https://www.google.com/search?q=Perioperative%20management%20of%20common%20comorbidities%20clinical%20practice%20guideline%20pathyway", "Launch Live Guideline Search ↗")</f>
        <v/>
      </c>
    </row>
    <row r="174" ht="20" customHeight="1">
      <c r="A174" s="2" t="n">
        <v>173</v>
      </c>
      <c r="B174" s="3" t="inlineStr">
        <is>
          <t>Perioperative risk assessment and optimisation</t>
        </is>
      </c>
      <c r="C174" s="4" t="inlineStr">
        <is>
          <t>Critical Care &amp; Emergency Medicine</t>
        </is>
      </c>
      <c r="D174" s="5">
        <f>HYPERLINK("https://www.google.com/search?q=Perioperative%20risk%20assessment%20and%20optimisation%20clinical%20practice%20guideline%20pathyway", "Launch Live Guideline Search ↗")</f>
        <v/>
      </c>
    </row>
    <row r="175" ht="20" customHeight="1">
      <c r="A175" s="6" t="n">
        <v>174</v>
      </c>
      <c r="B175" s="7" t="inlineStr">
        <is>
          <t>Polycystic ovary syndrome metabolic management</t>
        </is>
      </c>
      <c r="C175" s="8" t="inlineStr">
        <is>
          <t>Endocrinology &amp; Metabolism</t>
        </is>
      </c>
      <c r="D175" s="9">
        <f>HYPERLINK("https://www.google.com/search?q=Polycystic%20ovary%20syndrome%20metabolic%20management%20clinical%20practice%20guideline%20pathyway", "Launch Live Guideline Search ↗")</f>
        <v/>
      </c>
    </row>
    <row r="176" ht="20" customHeight="1">
      <c r="A176" s="2" t="n">
        <v>175</v>
      </c>
      <c r="B176" s="3" t="inlineStr">
        <is>
          <t>Polycythemia vera: hematocrit targets, aspirin, and cardiovascular risk reduction</t>
        </is>
      </c>
      <c r="C176" s="4" t="inlineStr">
        <is>
          <t>Hematology &amp; Oncology</t>
        </is>
      </c>
      <c r="D176" s="5">
        <f>HYPERLINK("https://www.google.com/search?q=Polycythemia%20vera%3A%20hematocrit%20targets%2C%20aspirin%2C%20and%20cardiovascular%20risk%20reduction%20clinical%20practice%20guideline%20pathyway", "Launch Live Guideline Search ↗")</f>
        <v/>
      </c>
    </row>
    <row r="177" ht="20" customHeight="1">
      <c r="A177" s="6" t="n">
        <v>176</v>
      </c>
      <c r="B177" s="7" t="inlineStr">
        <is>
          <t>Polymyalgia rheumatica relapse prevention</t>
        </is>
      </c>
      <c r="C177" s="8" t="inlineStr">
        <is>
          <t>Rheumatology &amp; Immunology</t>
        </is>
      </c>
      <c r="D177" s="9">
        <f>HYPERLINK("https://www.google.com/search?q=Polymyalgia%20rheumatica%20relapse%20prevention%20clinical%20practice%20guideline%20pathyway", "Launch Live Guideline Search ↗")</f>
        <v/>
      </c>
    </row>
    <row r="178" ht="20" customHeight="1">
      <c r="A178" s="2" t="n">
        <v>177</v>
      </c>
      <c r="B178" s="3" t="inlineStr">
        <is>
          <t>Portal hypertension and variceal bleeding</t>
        </is>
      </c>
      <c r="C178" s="4" t="inlineStr">
        <is>
          <t>Gastroenterology &amp; General Surgery</t>
        </is>
      </c>
      <c r="D178" s="5">
        <f>HYPERLINK("https://www.google.com/search?q=Portal%20hypertension%20and%20variceal%20bleeding%20clinical%20practice%20guideline%20pathyway", "Launch Live Guideline Search ↗")</f>
        <v/>
      </c>
    </row>
    <row r="179" ht="20" customHeight="1">
      <c r="A179" s="6" t="n">
        <v>178</v>
      </c>
      <c r="B179" s="7" t="inlineStr">
        <is>
          <t>Postoperative ileus: prevention and management</t>
        </is>
      </c>
      <c r="C179" s="8" t="inlineStr">
        <is>
          <t>Gastroenterology &amp; General Surgery</t>
        </is>
      </c>
      <c r="D179" s="9">
        <f>HYPERLINK("https://www.google.com/search?q=Postoperative%20ileus%3A%20prevention%20and%20management%20clinical%20practice%20guideline%20pathyway", "Launch Live Guideline Search ↗")</f>
        <v/>
      </c>
    </row>
    <row r="180" ht="20" customHeight="1">
      <c r="A180" s="2" t="n">
        <v>179</v>
      </c>
      <c r="B180" s="3" t="inlineStr">
        <is>
          <t>Postoperative nausea and vomiting: prevention and treatment</t>
        </is>
      </c>
      <c r="C180" s="4" t="inlineStr">
        <is>
          <t>Critical Care &amp; Emergency Medicine</t>
        </is>
      </c>
      <c r="D180" s="5">
        <f>HYPERLINK("https://www.google.com/search?q=Postoperative%20nausea%20and%20vomiting%3A%20prevention%20and%20treatment%20clinical%20practice%20guideline%20pathyway", "Launch Live Guideline Search ↗")</f>
        <v/>
      </c>
    </row>
    <row r="181" ht="20" customHeight="1">
      <c r="A181" s="6" t="n">
        <v>180</v>
      </c>
      <c r="B181" s="7" t="inlineStr">
        <is>
          <t>Postural Orthostatic Tachycardia Syndrome (POTS): tilt table test criteria, non-pharmacological methods</t>
        </is>
      </c>
      <c r="C181" s="8" t="inlineStr">
        <is>
          <t>Cardiovascular Medicine</t>
        </is>
      </c>
      <c r="D181" s="9">
        <f>HYPERLINK("https://www.google.com/search?q=Postural%20Orthostatic%20Tachycardia%20Syndrome%20%28POTS%29%3A%20tilt%20table%20test%20criteria%2C%20non-pharmacological%20methods%20clinical%20practice%20guideline%20pathyway", "Launch Live Guideline Search ↗")</f>
        <v/>
      </c>
    </row>
    <row r="182" ht="20" customHeight="1">
      <c r="A182" s="2" t="n">
        <v>181</v>
      </c>
      <c r="B182" s="3" t="inlineStr">
        <is>
          <t>Pressure ulcers: staging, prevention and wound management</t>
        </is>
      </c>
      <c r="C182" s="4" t="inlineStr">
        <is>
          <t>Dermatology &amp; Allergy</t>
        </is>
      </c>
      <c r="D182" s="5">
        <f>HYPERLINK("https://www.google.com/search?q=Pressure%20ulcers%3A%20staging%2C%20prevention%20and%20wound%20management%20clinical%20practice%20guideline%20pathyway", "Launch Live Guideline Search ↗")</f>
        <v/>
      </c>
    </row>
    <row r="183" ht="20" customHeight="1">
      <c r="A183" s="6" t="n">
        <v>182</v>
      </c>
      <c r="B183" s="7" t="inlineStr">
        <is>
          <t>Primary aldosteronism diagnosis and treatment</t>
        </is>
      </c>
      <c r="C183" s="8" t="inlineStr">
        <is>
          <t>Endocrinology &amp; Metabolism</t>
        </is>
      </c>
      <c r="D183" s="9">
        <f>HYPERLINK("https://www.google.com/search?q=Primary%20aldosteronism%20diagnosis%20and%20treatment%20clinical%20practice%20guideline%20pathyway", "Launch Live Guideline Search ↗")</f>
        <v/>
      </c>
    </row>
    <row r="184" ht="20" customHeight="1">
      <c r="A184" s="2" t="n">
        <v>183</v>
      </c>
      <c r="B184" s="3" t="inlineStr">
        <is>
          <t>Primary membranous nephropathy immunosuppression</t>
        </is>
      </c>
      <c r="C184" s="4" t="inlineStr">
        <is>
          <t>Nephrology &amp; Urology</t>
        </is>
      </c>
      <c r="D184" s="5">
        <f>HYPERLINK("https://www.google.com/search?q=Primary%20membranous%20nephropathy%20immunosuppression%20clinical%20practice%20guideline%20pathyway", "Launch Live Guideline Search ↗")</f>
        <v/>
      </c>
    </row>
    <row r="185" ht="20" customHeight="1">
      <c r="A185" s="6" t="n">
        <v>184</v>
      </c>
      <c r="B185" s="7" t="inlineStr">
        <is>
          <t>Primary prevention icd sudden cardiac death</t>
        </is>
      </c>
      <c r="C185" s="8" t="inlineStr">
        <is>
          <t>Cardiovascular Medicine</t>
        </is>
      </c>
      <c r="D185" s="9">
        <f>HYPERLINK("https://www.google.com/search?q=Primary%20prevention%20icd%20sudden%20cardiac%20death%20clinical%20practice%20guideline%20pathyway", "Launch Live Guideline Search ↗")</f>
        <v/>
      </c>
    </row>
    <row r="186" ht="20" customHeight="1">
      <c r="A186" s="2" t="n">
        <v>185</v>
      </c>
      <c r="B186" s="3" t="inlineStr">
        <is>
          <t>Prolactinoma dopamine agonist therapy</t>
        </is>
      </c>
      <c r="C186" s="4" t="inlineStr">
        <is>
          <t>Endocrinology &amp; Metabolism</t>
        </is>
      </c>
      <c r="D186" s="5">
        <f>HYPERLINK("https://www.google.com/search?q=Prolactinoma%20dopamine%20agonist%20therapy%20clinical%20practice%20guideline%20pathyway", "Launch Live Guideline Search ↗")</f>
        <v/>
      </c>
    </row>
    <row r="187" ht="20" customHeight="1">
      <c r="A187" s="6" t="n">
        <v>186</v>
      </c>
      <c r="B187" s="7" t="inlineStr">
        <is>
          <t>Prone positioning severe acute respiratory distress syndrome</t>
        </is>
      </c>
      <c r="C187" s="8" t="inlineStr">
        <is>
          <t>Critical Care &amp; Emergency Medicine</t>
        </is>
      </c>
      <c r="D187" s="9">
        <f>HYPERLINK("https://www.google.com/search?q=Prone%20positioning%20severe%20acute%20respiratory%20distress%20syndrome%20clinical%20practice%20guideline%20pathyway", "Launch Live Guideline Search ↗")</f>
        <v/>
      </c>
    </row>
    <row r="188" ht="20" customHeight="1">
      <c r="A188" s="2" t="n">
        <v>187</v>
      </c>
      <c r="B188" s="3" t="inlineStr">
        <is>
          <t>Prosthetic joint infection diagnosis and retention strategy</t>
        </is>
      </c>
      <c r="C188" s="4" t="inlineStr">
        <is>
          <t>Infectious Diseases</t>
        </is>
      </c>
      <c r="D188" s="5">
        <f>HYPERLINK("https://www.google.com/search?q=Prosthetic%20joint%20infection%20diagnosis%20and%20retention%20strategy%20clinical%20practice%20guideline%20pathyway", "Launch Live Guideline Search ↗")</f>
        <v/>
      </c>
    </row>
    <row r="189" ht="20" customHeight="1">
      <c r="A189" s="6" t="n">
        <v>188</v>
      </c>
      <c r="B189" s="7" t="inlineStr">
        <is>
          <t>Prothrombin G20210A Mutation</t>
        </is>
      </c>
      <c r="C189" s="8" t="inlineStr">
        <is>
          <t>Hematology &amp; Oncology</t>
        </is>
      </c>
      <c r="D189" s="9">
        <f>HYPERLINK("https://www.google.com/search?q=Prothrombin%20G20210A%20Mutation%20clinical%20practice%20guideline%20pathyway", "Launch Live Guideline Search ↗")</f>
        <v/>
      </c>
    </row>
    <row r="190" ht="20" customHeight="1">
      <c r="A190" s="2" t="n">
        <v>189</v>
      </c>
      <c r="B190" s="3" t="inlineStr">
        <is>
          <t>Psoriasis: diagnosis, severity assessment and systemic treatment</t>
        </is>
      </c>
      <c r="C190" s="4" t="inlineStr">
        <is>
          <t>Dermatology &amp; Allergy</t>
        </is>
      </c>
      <c r="D190" s="5">
        <f>HYPERLINK("https://www.google.com/search?q=Psoriasis%3A%20diagnosis%2C%20severity%20assessment%20and%20systemic%20treatment%20clinical%20practice%20guideline%20pathyway", "Launch Live Guideline Search ↗")</f>
        <v/>
      </c>
    </row>
    <row r="191" ht="20" customHeight="1">
      <c r="A191" s="6" t="n">
        <v>190</v>
      </c>
      <c r="B191" s="7" t="inlineStr">
        <is>
          <t>Psychosis and acute behavioural disturbance</t>
        </is>
      </c>
      <c r="C191" s="8" t="inlineStr">
        <is>
          <t>Psychiatry &amp; Mental Health</t>
        </is>
      </c>
      <c r="D191" s="9">
        <f>HYPERLINK("https://www.google.com/search?q=Psychosis%20and%20acute%20behavioural%20disturbance%20clinical%20practice%20guideline%20pathyway", "Launch Live Guideline Search ↗")</f>
        <v/>
      </c>
    </row>
    <row r="192" ht="20" customHeight="1">
      <c r="A192" s="2" t="n">
        <v>191</v>
      </c>
      <c r="B192" s="3" t="inlineStr">
        <is>
          <t>Ptsd trauma focused psychotherapy and ssri</t>
        </is>
      </c>
      <c r="C192" s="4" t="inlineStr">
        <is>
          <t>Psychiatry &amp; Mental Health</t>
        </is>
      </c>
      <c r="D192" s="5">
        <f>HYPERLINK("https://www.google.com/search?q=Ptsd%20trauma%20focused%20psychotherapy%20and%20ssri%20clinical%20practice%20guideline%20pathyway", "Launch Live Guideline Search ↗")</f>
        <v/>
      </c>
    </row>
    <row r="193" ht="20" customHeight="1">
      <c r="A193" s="6" t="n">
        <v>192</v>
      </c>
      <c r="B193" s="7" t="inlineStr">
        <is>
          <t>PTSD trauma-focused psychotherapy and SSRI</t>
        </is>
      </c>
      <c r="C193" s="8" t="inlineStr">
        <is>
          <t>Psychiatry &amp; Mental Health</t>
        </is>
      </c>
      <c r="D193" s="9">
        <f>HYPERLINK("https://www.google.com/search?q=PTSD%20trauma-focused%20psychotherapy%20and%20SSRI%20clinical%20practice%20guideline%20pathyway", "Launch Live Guideline Search ↗")</f>
        <v/>
      </c>
    </row>
    <row r="194" ht="20" customHeight="1">
      <c r="A194" s="2" t="n">
        <v>193</v>
      </c>
      <c r="B194" s="3" t="inlineStr">
        <is>
          <t>Pulmonary nodule evaluation and fleischner follow up</t>
        </is>
      </c>
      <c r="C194" s="4" t="inlineStr">
        <is>
          <t>Respiratory Medicine</t>
        </is>
      </c>
      <c r="D194" s="5">
        <f>HYPERLINK("https://www.google.com/search?q=Pulmonary%20nodule%20evaluation%20and%20fleischner%20follow%20up%20clinical%20practice%20guideline%20pathyway", "Launch Live Guideline Search ↗")</f>
        <v/>
      </c>
    </row>
    <row r="195" ht="20" customHeight="1">
      <c r="A195" s="6" t="n">
        <v>194</v>
      </c>
      <c r="B195" s="7" t="inlineStr">
        <is>
          <t>Pulmonary sarcoidosis corticosteroid therapy</t>
        </is>
      </c>
      <c r="C195" s="8" t="inlineStr">
        <is>
          <t>Respiratory Medicine</t>
        </is>
      </c>
      <c r="D195" s="9">
        <f>HYPERLINK("https://www.google.com/search?q=Pulmonary%20sarcoidosis%20corticosteroid%20therapy%20clinical%20practice%20guideline%20pathyway", "Launch Live Guideline Search ↗")</f>
        <v/>
      </c>
    </row>
    <row r="196" ht="20" customHeight="1">
      <c r="A196" s="2" t="n">
        <v>195</v>
      </c>
      <c r="B196" s="3" t="inlineStr">
        <is>
          <t>Rabies pre- and post-exposure prophylaxis</t>
        </is>
      </c>
      <c r="C196" s="4" t="inlineStr">
        <is>
          <t>Infectious Diseases</t>
        </is>
      </c>
      <c r="D196" s="5">
        <f>HYPERLINK("https://www.google.com/search?q=Rabies%20pre-%20and%20post-exposure%20prophylaxis%20clinical%20practice%20guideline%20pathyway", "Launch Live Guideline Search ↗")</f>
        <v/>
      </c>
    </row>
    <row r="197" ht="20" customHeight="1">
      <c r="A197" s="6" t="n">
        <v>196</v>
      </c>
      <c r="B197" s="7" t="inlineStr">
        <is>
          <t>Radial versus femoral access for PCI</t>
        </is>
      </c>
      <c r="C197" s="8" t="inlineStr">
        <is>
          <t>Cardiovascular Medicine</t>
        </is>
      </c>
      <c r="D197" s="9">
        <f>HYPERLINK("https://www.google.com/search?q=Radial%20versus%20femoral%20access%20for%20PCI%20clinical%20practice%20guideline%20pathyway", "Launch Live Guideline Search ↗")</f>
        <v/>
      </c>
    </row>
    <row r="198" ht="20" customHeight="1">
      <c r="A198" s="2" t="n">
        <v>197</v>
      </c>
      <c r="B198" s="3" t="inlineStr">
        <is>
          <t>Radiation necrosis vs tumour progression: perfusion MRI and PET scan utility</t>
        </is>
      </c>
      <c r="C198" s="4" t="inlineStr">
        <is>
          <t>Neurology &amp; Neurosurgery</t>
        </is>
      </c>
      <c r="D198" s="5">
        <f>HYPERLINK("https://www.google.com/search?q=Radiation%20necrosis%20vs%20tumour%20progression%3A%20perfusion%20MRI%20and%20PET%20scan%20utility%20clinical%20practice%20guideline%20pathyway", "Launch Live Guideline Search ↗")</f>
        <v/>
      </c>
    </row>
    <row r="199" ht="20" customHeight="1">
      <c r="A199" s="6" t="n">
        <v>198</v>
      </c>
      <c r="B199" s="7" t="inlineStr">
        <is>
          <t>Rehabilitation after stroke: principles and evidence</t>
        </is>
      </c>
      <c r="C199" s="8" t="inlineStr">
        <is>
          <t>Neurology &amp; Neurosurgery</t>
        </is>
      </c>
      <c r="D199" s="9">
        <f>HYPERLINK("https://www.google.com/search?q=Rehabilitation%20after%20stroke%3A%20principles%20and%20evidence%20clinical%20practice%20guideline%20pathyway", "Launch Live Guideline Search ↗")</f>
        <v/>
      </c>
    </row>
    <row r="200" ht="20" customHeight="1">
      <c r="A200" s="2" t="n">
        <v>199</v>
      </c>
      <c r="B200" s="3" t="inlineStr">
        <is>
          <t>Reproductive health in rheumatic disease</t>
        </is>
      </c>
      <c r="C200" s="4" t="inlineStr">
        <is>
          <t>Rheumatology &amp; Immunology</t>
        </is>
      </c>
      <c r="D200" s="5">
        <f>HYPERLINK("https://www.google.com/search?q=Reproductive%20health%20in%20rheumatic%20disease%20clinical%20practice%20guideline%20pathyway", "Launch Live Guideline Search ↗")</f>
        <v/>
      </c>
    </row>
    <row r="201" ht="20" customHeight="1">
      <c r="A201" s="6" t="n">
        <v>200</v>
      </c>
      <c r="B201" s="7" t="inlineStr">
        <is>
          <t>Retinal detachment: presentation and emergency management</t>
        </is>
      </c>
      <c r="C201" s="8" t="inlineStr">
        <is>
          <t>Ophthalmology</t>
        </is>
      </c>
      <c r="D201" s="9">
        <f>HYPERLINK("https://www.google.com/search?q=Retinal%20detachment%3A%20presentation%20and%20emergency%20management%20clinical%20practice%20guideline%20pathyway", "Launch Live Guideline Search ↗")</f>
        <v/>
      </c>
    </row>
    <row r="202" ht="20" customHeight="1">
      <c r="A202" s="2" t="n">
        <v>201</v>
      </c>
      <c r="B202" s="3" t="inlineStr">
        <is>
          <t>Syncope and postural hypotension</t>
        </is>
      </c>
      <c r="C202" s="4" t="inlineStr">
        <is>
          <t>Cardiovascular Medicine</t>
        </is>
      </c>
      <c r="D202" s="5">
        <f>HYPERLINK("https://www.google.com/search?q=Syncope%20and%20postural%20hypotension%20clinical%20practice%20guideline%20pathyway", "Launch Live Guideline Search ↗")</f>
        <v/>
      </c>
    </row>
    <row r="203" ht="20" customHeight="1">
      <c r="A203" s="6" t="n">
        <v>202</v>
      </c>
      <c r="B203" s="7" t="inlineStr">
        <is>
          <t>Takayasu arteritis biologic therapy</t>
        </is>
      </c>
      <c r="C203" s="8" t="inlineStr">
        <is>
          <t>Rheumatology &amp; Immunology</t>
        </is>
      </c>
      <c r="D203" s="9">
        <f>HYPERLINK("https://www.google.com/search?q=Takayasu%20arteritis%20biologic%20therapy%20clinical%20practice%20guideline%20pathyway", "Launch Live Guideline Search ↗")</f>
        <v/>
      </c>
    </row>
    <row r="204" ht="20" customHeight="1">
      <c r="A204" s="2" t="n">
        <v>203</v>
      </c>
      <c r="B204" s="3" t="inlineStr">
        <is>
          <t>Tenecteplase alteplase acute ischemic stroke EXTEND-IA TNK</t>
        </is>
      </c>
      <c r="C204" s="4" t="inlineStr">
        <is>
          <t>Neurology &amp; Neurosurgery</t>
        </is>
      </c>
      <c r="D204" s="5">
        <f>HYPERLINK("https://www.google.com/search?q=Tenecteplase%20alteplase%20acute%20ischemic%20stroke%20EXTEND-IA%20TNK%20clinical%20practice%20guideline%20pathyway", "Launch Live Guideline Search ↗")</f>
        <v/>
      </c>
    </row>
    <row r="205" ht="20" customHeight="1">
      <c r="A205" s="6" t="n">
        <v>204</v>
      </c>
      <c r="B205" s="7" t="inlineStr">
        <is>
          <t>Testicular germ cell tumor chemotherapy</t>
        </is>
      </c>
      <c r="C205" s="8" t="inlineStr">
        <is>
          <t>Hematology &amp; Oncology</t>
        </is>
      </c>
      <c r="D205" s="9">
        <f>HYPERLINK("https://www.google.com/search?q=Testicular%20germ%20cell%20tumor%20chemotherapy%20clinical%20practice%20guideline%20pathyway", "Launch Live Guideline Search ↗")</f>
        <v/>
      </c>
    </row>
    <row r="206" ht="20" customHeight="1">
      <c r="A206" s="2" t="n">
        <v>205</v>
      </c>
      <c r="B206" s="3" t="inlineStr">
        <is>
          <t>Thyroid nodule evaluation and fna</t>
        </is>
      </c>
      <c r="C206" s="4" t="inlineStr">
        <is>
          <t>Endocrinology &amp; Metabolism</t>
        </is>
      </c>
      <c r="D206" s="5">
        <f>HYPERLINK("https://www.google.com/search?q=Thyroid%20nodule%20evaluation%20and%20fna%20clinical%20practice%20guideline%20pathyway", "Launch Live Guideline Search ↗")</f>
        <v/>
      </c>
    </row>
    <row r="207" ht="20" customHeight="1">
      <c r="A207" s="6" t="n">
        <v>206</v>
      </c>
      <c r="B207" s="7" t="inlineStr">
        <is>
          <t>Ticagrelor versus clopidogrel acute coronary syndromes</t>
        </is>
      </c>
      <c r="C207" s="8" t="inlineStr">
        <is>
          <t>Cardiovascular Medicine</t>
        </is>
      </c>
      <c r="D207" s="9">
        <f>HYPERLINK("https://www.google.com/search?q=Ticagrelor%20versus%20clopidogrel%20acute%20coronary%20syndromes%20clinical%20practice%20guideline%20pathyway", "Launch Live Guideline Search ↗")</f>
        <v/>
      </c>
    </row>
    <row r="208" ht="20" customHeight="1">
      <c r="A208" s="2" t="n">
        <v>207</v>
      </c>
      <c r="B208" s="3" t="inlineStr">
        <is>
          <t>Tick borne rickettsial disease empiric doxycycline</t>
        </is>
      </c>
      <c r="C208" s="4" t="inlineStr">
        <is>
          <t>Infectious Diseases</t>
        </is>
      </c>
      <c r="D208" s="5">
        <f>HYPERLINK("https://www.google.com/search?q=Tick%20borne%20rickettsial%20disease%20empiric%20doxycycline%20clinical%20practice%20guideline%20pathyway", "Launch Live Guideline Search ↗")</f>
        <v/>
      </c>
    </row>
    <row r="209" ht="20" customHeight="1">
      <c r="A209" s="6" t="n">
        <v>208</v>
      </c>
      <c r="B209" s="7" t="inlineStr">
        <is>
          <t>Tick-borne rickettsial disease empiric doxycycline</t>
        </is>
      </c>
      <c r="C209" s="8" t="inlineStr">
        <is>
          <t>Infectious Diseases</t>
        </is>
      </c>
      <c r="D209" s="9">
        <f>HYPERLINK("https://www.google.com/search?q=Tick-borne%20rickettsial%20disease%20empiric%20doxycycline%20clinical%20practice%20guideline%20pathyway", "Launch Live Guideline Search ↗")</f>
        <v/>
      </c>
    </row>
    <row r="210" ht="20" customHeight="1">
      <c r="A210" s="2" t="n">
        <v>209</v>
      </c>
      <c r="B210" s="3" t="inlineStr">
        <is>
          <t>Tocilizumab COVID-19 hospitalized patients</t>
        </is>
      </c>
      <c r="C210" s="4" t="inlineStr">
        <is>
          <t>Infectious Diseases</t>
        </is>
      </c>
      <c r="D210" s="5">
        <f>HYPERLINK("https://www.google.com/search?q=Tocilizumab%20COVID-19%20hospitalized%20patients%20clinical%20practice%20guideline%20pathyway", "Launch Live Guideline Search ↗")</f>
        <v/>
      </c>
    </row>
    <row r="211" ht="20" customHeight="1">
      <c r="A211" s="6" t="n">
        <v>210</v>
      </c>
      <c r="B211" s="7" t="inlineStr">
        <is>
          <t>Tonsillitis, peritonsillar abscess and deep neck infection</t>
        </is>
      </c>
      <c r="C211" s="8" t="inlineStr">
        <is>
          <t>Otolaryngology (ENT)</t>
        </is>
      </c>
      <c r="D211" s="9">
        <f>HYPERLINK("https://www.google.com/search?q=Tonsillitis%2C%20peritonsillar%20abscess%20and%20deep%20neck%20infection%20clinical%20practice%20guideline%20pathyway", "Launch Live Guideline Search ↗")</f>
        <v/>
      </c>
    </row>
    <row r="212" ht="20" customHeight="1">
      <c r="A212" s="2" t="n">
        <v>211</v>
      </c>
      <c r="B212" s="3" t="inlineStr">
        <is>
          <t>Toxic and nutritional neuropathies: B12, B6 deficiency, chemotherapy-induced</t>
        </is>
      </c>
      <c r="C212" s="4" t="inlineStr">
        <is>
          <t>Neurology &amp; Neurosurgery</t>
        </is>
      </c>
      <c r="D212" s="5">
        <f>HYPERLINK("https://www.google.com/search?q=Toxic%20and%20nutritional%20neuropathies%3A%20B12%2C%20B6%20deficiency%2C%20chemotherapy-induced%20clinical%20practice%20guideline%20pathyway", "Launch Live Guideline Search ↗")</f>
        <v/>
      </c>
    </row>
    <row r="213" ht="20" customHeight="1">
      <c r="A213" s="6" t="n">
        <v>212</v>
      </c>
      <c r="B213" s="7" t="inlineStr">
        <is>
          <t>Transcatheter aortic valve replacement balloon-expandable low-risk patients</t>
        </is>
      </c>
      <c r="C213" s="8" t="inlineStr">
        <is>
          <t>Cardiovascular Medicine</t>
        </is>
      </c>
      <c r="D213" s="9">
        <f>HYPERLINK("https://www.google.com/search?q=Transcatheter%20aortic%20valve%20replacement%20balloon-expandable%20low-risk%20patients%20clinical%20practice%20guideline%20pathyway", "Launch Live Guideline Search ↗")</f>
        <v/>
      </c>
    </row>
    <row r="214" ht="20" customHeight="1">
      <c r="A214" s="2" t="n">
        <v>213</v>
      </c>
      <c r="B214" s="3" t="inlineStr">
        <is>
          <t>Transient ischemic attack rapid assessment</t>
        </is>
      </c>
      <c r="C214" s="4" t="inlineStr">
        <is>
          <t>Neurology &amp; Neurosurgery</t>
        </is>
      </c>
      <c r="D214" s="5">
        <f>HYPERLINK("https://www.google.com/search?q=Transient%20ischemic%20attack%20rapid%20assessment%20clinical%20practice%20guideline%20pathyway", "Launch Live Guideline Search ↗")</f>
        <v/>
      </c>
    </row>
    <row r="215" ht="20" customHeight="1">
      <c r="A215" s="6" t="n">
        <v>214</v>
      </c>
      <c r="B215" s="7" t="inlineStr">
        <is>
          <t>Traumatic brain injury intracranial pressure management</t>
        </is>
      </c>
      <c r="C215" s="8" t="inlineStr">
        <is>
          <t>Neurology &amp; Neurosurgery</t>
        </is>
      </c>
      <c r="D215" s="9">
        <f>HYPERLINK("https://www.google.com/search?q=Traumatic%20brain%20injury%20intracranial%20pressure%20management%20clinical%20practice%20guideline%20pathyway", "Launch Live Guideline Search ↗")</f>
        <v/>
      </c>
    </row>
    <row r="216" ht="20" customHeight="1">
      <c r="A216" s="2" t="n">
        <v>215</v>
      </c>
      <c r="B216" s="3" t="inlineStr">
        <is>
          <t>Tuberculosis treatment regimens</t>
        </is>
      </c>
      <c r="C216" s="4" t="inlineStr">
        <is>
          <t>Infectious Diseases</t>
        </is>
      </c>
      <c r="D216" s="5">
        <f>HYPERLINK("https://www.google.com/search?q=Tuberculosis%20treatment%20regimens%20clinical%20practice%20guideline%20pathyway", "Launch Live Guideline Search ↗")</f>
        <v/>
      </c>
    </row>
    <row r="217" ht="20" customHeight="1">
      <c r="A217" s="6" t="n">
        <v>216</v>
      </c>
      <c r="B217" s="7" t="inlineStr">
        <is>
          <t>Type 1 and type 2 diabetes</t>
        </is>
      </c>
      <c r="C217" s="8" t="inlineStr">
        <is>
          <t>Endocrinology &amp; Metabolism</t>
        </is>
      </c>
      <c r="D217" s="9">
        <f>HYPERLINK("https://www.google.com/search?q=Type%201%20and%20type%202%20diabetes%20clinical%20practice%20guideline%20pathyway", "Launch Live Guideline Search ↗")</f>
        <v/>
      </c>
    </row>
    <row r="218" ht="20" customHeight="1">
      <c r="A218" s="2" t="n">
        <v>217</v>
      </c>
      <c r="B218" s="3" t="inlineStr">
        <is>
          <t>Type 1 diabetes intensive glycemic control</t>
        </is>
      </c>
      <c r="C218" s="4" t="inlineStr">
        <is>
          <t>Endocrinology &amp; Metabolism</t>
        </is>
      </c>
      <c r="D218" s="5">
        <f>HYPERLINK("https://www.google.com/search?q=Type%201%20diabetes%20intensive%20glycemic%20control%20clinical%20practice%20guideline%20pathyway", "Launch Live Guideline Search ↗")</f>
        <v/>
      </c>
    </row>
    <row r="219" ht="20" customHeight="1">
      <c r="A219" s="6" t="n">
        <v>218</v>
      </c>
      <c r="B219" s="7" t="inlineStr">
        <is>
          <t>Upper and lower GI bleeding</t>
        </is>
      </c>
      <c r="C219" s="8" t="inlineStr">
        <is>
          <t>Gastroenterology &amp; General Surgery</t>
        </is>
      </c>
      <c r="D219" s="9">
        <f>HYPERLINK("https://www.google.com/search?q=Upper%20and%20lower%20GI%20bleeding%20clinical%20practice%20guideline%20pathyway", "Launch Live Guideline Search ↗")</f>
        <v/>
      </c>
    </row>
    <row r="220" ht="20" customHeight="1">
      <c r="A220" s="2" t="n">
        <v>219</v>
      </c>
      <c r="B220" s="3" t="inlineStr">
        <is>
          <t>Upper gi bleed</t>
        </is>
      </c>
      <c r="C220" s="4" t="inlineStr">
        <is>
          <t>Gastroenterology &amp; General Surgery</t>
        </is>
      </c>
      <c r="D220" s="5">
        <f>HYPERLINK("https://www.google.com/search?q=Upper%20gi%20bleed%20clinical%20practice%20guideline%20pathyway", "Launch Live Guideline Search ↗")</f>
        <v/>
      </c>
    </row>
    <row r="221" ht="20" customHeight="1">
      <c r="A221" s="6" t="n">
        <v>220</v>
      </c>
      <c r="B221" s="7" t="inlineStr">
        <is>
          <t>Upper GI bleeding</t>
        </is>
      </c>
      <c r="C221" s="8" t="inlineStr">
        <is>
          <t>Gastroenterology &amp; General Surgery</t>
        </is>
      </c>
      <c r="D221" s="9">
        <f>HYPERLINK("https://www.google.com/search?q=Upper%20GI%20bleeding%20clinical%20practice%20guideline%20pathyway", "Launch Live Guideline Search ↗")</f>
        <v/>
      </c>
    </row>
    <row r="222" ht="20" customHeight="1">
      <c r="A222" s="2" t="n">
        <v>221</v>
      </c>
      <c r="B222" s="3" t="inlineStr">
        <is>
          <t>Urinary tract infections and pyelonephritis</t>
        </is>
      </c>
      <c r="C222" s="4" t="inlineStr">
        <is>
          <t>Infectious Diseases</t>
        </is>
      </c>
      <c r="D222" s="5">
        <f>HYPERLINK("https://www.google.com/search?q=Urinary%20tract%20infections%20and%20pyelonephritis%20clinical%20practice%20guideline%20pathyway", "Launch Live Guideline Search ↗")</f>
        <v/>
      </c>
    </row>
    <row r="223" ht="20" customHeight="1">
      <c r="A223" s="6" t="n">
        <v>222</v>
      </c>
      <c r="B223" s="7" t="inlineStr">
        <is>
          <t>Urticaria and angioedema: classification and management</t>
        </is>
      </c>
      <c r="C223" s="8" t="inlineStr">
        <is>
          <t>Dermatology &amp; Allergy</t>
        </is>
      </c>
      <c r="D223" s="9">
        <f>HYPERLINK("https://www.google.com/search?q=Urticaria%20and%20angioedema%3A%20classification%20and%20management%20clinical%20practice%20guideline%20pathyway", "Launch Live Guideline Search ↗")</f>
        <v/>
      </c>
    </row>
    <row r="224" ht="20" customHeight="1">
      <c r="A224" s="2" t="n">
        <v>223</v>
      </c>
      <c r="B224" s="3" t="inlineStr">
        <is>
          <t>Vapor Gas Dust and Fume exposures</t>
        </is>
      </c>
      <c r="C224" s="4" t="inlineStr">
        <is>
          <t>Respiratory Medicine</t>
        </is>
      </c>
      <c r="D224" s="5">
        <f>HYPERLINK("https://www.google.com/search?q=Vapor%20Gas%20Dust%20and%20Fume%20exposures%20clinical%20practice%20guideline%20pathyway", "Launch Live Guideline Search ↗")</f>
        <v/>
      </c>
    </row>
    <row r="225" ht="20" customHeight="1">
      <c r="A225" s="6" t="n">
        <v>224</v>
      </c>
      <c r="B225" s="7" t="inlineStr">
        <is>
          <t>Vasopressor use septic shock</t>
        </is>
      </c>
      <c r="C225" s="8" t="inlineStr">
        <is>
          <t>Critical Care &amp; Emergency Medicine</t>
        </is>
      </c>
      <c r="D225" s="9">
        <f>HYPERLINK("https://www.google.com/search?q=Vasopressor%20use%20septic%20shock%20clinical%20practice%20guideline%20pathyway", "Launch Live Guideline Search ↗")</f>
        <v/>
      </c>
    </row>
    <row r="226" ht="20" customHeight="1">
      <c r="A226" s="2" t="n">
        <v>225</v>
      </c>
      <c r="B226" s="3" t="inlineStr">
        <is>
          <t>Vasopressors and inotropes in shock</t>
        </is>
      </c>
      <c r="C226" s="4" t="inlineStr">
        <is>
          <t>Critical Care &amp; Emergency Medicine</t>
        </is>
      </c>
      <c r="D226" s="5">
        <f>HYPERLINK("https://www.google.com/search?q=Vasopressors%20and%20inotropes%20in%20shock%20clinical%20practice%20guideline%20pathyway", "Launch Live Guideline Search ↗")</f>
        <v/>
      </c>
    </row>
    <row r="227" ht="20" customHeight="1">
      <c r="A227" s="6" t="n">
        <v>226</v>
      </c>
      <c r="B227" s="7" t="inlineStr">
        <is>
          <t>Venous leg ulcers, lymphoedema and lower leg management</t>
        </is>
      </c>
      <c r="C227" s="8" t="inlineStr">
        <is>
          <t>Dermatology &amp; Allergy</t>
        </is>
      </c>
      <c r="D227" s="9">
        <f>HYPERLINK("https://www.google.com/search?q=Venous%20leg%20ulcers%2C%20lymphoedema%20and%20lower%20leg%20management%20clinical%20practice%20guideline%20pathyway", "Launch Live Guideline Search ↗")</f>
        <v/>
      </c>
    </row>
    <row r="228" ht="20" customHeight="1">
      <c r="A228" s="2" t="n">
        <v>227</v>
      </c>
      <c r="B228" s="3" t="inlineStr">
        <is>
          <t>Venous thromboembolism and anticoagulation management</t>
        </is>
      </c>
      <c r="C228" s="4" t="inlineStr">
        <is>
          <t>Hematology &amp; Oncology</t>
        </is>
      </c>
      <c r="D228" s="5">
        <f>HYPERLINK("https://www.google.com/search?q=Venous%20thromboembolism%20and%20anticoagulation%20management%20clinical%20practice%20guideline%20pathyway", "Launch Live Guideline Search ↗")</f>
        <v/>
      </c>
    </row>
    <row r="229" ht="20" customHeight="1">
      <c r="A229" s="6" t="n">
        <v>228</v>
      </c>
      <c r="B229" s="7" t="inlineStr">
        <is>
          <t>Viral haemorrhagic fevers and high-consequence infectious diseases in the ICU</t>
        </is>
      </c>
      <c r="C229" s="8" t="inlineStr">
        <is>
          <t>Critical Care &amp; Emergency Medicine</t>
        </is>
      </c>
      <c r="D229" s="9">
        <f>HYPERLINK("https://www.google.com/search?q=Viral%20haemorrhagic%20fevers%20and%20high-consequence%20infectious%20diseases%20in%20the%20ICU%20clinical%20practice%20guideline%20pathyway", "Launch Live Guideline Search ↗")</f>
        <v/>
      </c>
    </row>
    <row r="230" ht="20" customHeight="1">
      <c r="A230" s="2" t="n">
        <v>229</v>
      </c>
      <c r="B230" s="3" t="inlineStr">
        <is>
          <t>Viral wheeze</t>
        </is>
      </c>
      <c r="C230" s="4" t="inlineStr">
        <is>
          <t>Pediatrics &amp; Neonatology</t>
        </is>
      </c>
      <c r="D230" s="5">
        <f>HYPERLINK("https://www.google.com/search?q=Viral%20wheeze%20clinical%20practice%20guideline%20pathyway", "Launch Live Guideline Search ↗")</f>
        <v/>
      </c>
    </row>
    <row r="231" ht="20" customHeight="1">
      <c r="A231" s="6" t="n">
        <v>230</v>
      </c>
      <c r="B231" s="7" t="inlineStr">
        <is>
          <t>Vitamin K antagonist bridging atrial fibrillation perioperative BRIDGE trial</t>
        </is>
      </c>
      <c r="C231" s="8" t="inlineStr">
        <is>
          <t>Cardiovascular Medicine</t>
        </is>
      </c>
      <c r="D231" s="9">
        <f>HYPERLINK("https://www.google.com/search?q=Vitamin%20K%20antagonist%20bridging%20atrial%20fibrillation%20perioperative%20BRIDGE%20trial%20clinical%20practice%20guideline%20pathyway", "Launch Live Guideline Search ↗")</f>
        <v/>
      </c>
    </row>
    <row r="232" ht="20" customHeight="1">
      <c r="A232" s="2" t="n">
        <v>231</v>
      </c>
      <c r="B232" s="3" t="inlineStr">
        <is>
          <t>Wolfram syndrome DIDMOAD: diabetes insipidus, DM, optic atrophy, deafness</t>
        </is>
      </c>
      <c r="C232" s="4" t="inlineStr">
        <is>
          <t>Endocrinology &amp; Metabolism</t>
        </is>
      </c>
      <c r="D232" s="5">
        <f>HYPERLINK("https://www.google.com/search?q=Wolfram%20syndrome%20DIDMOAD%3A%20diabetes%20insipidus%2C%20DM%2C%20optic%20atrophy%2C%20deafness%20clinical%20practice%20guideline%20pathyway", "Launch Live Guideline Search ↗")</f>
        <v/>
      </c>
    </row>
    <row r="233" ht="20" customHeight="1">
      <c r="A233" s="6" t="n">
        <v>232</v>
      </c>
      <c r="B233" s="7" t="inlineStr">
        <is>
          <t>Zollinger-Ellison Syndrome</t>
        </is>
      </c>
      <c r="C233" s="8" t="inlineStr">
        <is>
          <t>Gastroenterology &amp; General Surgery</t>
        </is>
      </c>
      <c r="D233" s="9">
        <f>HYPERLINK("https://www.google.com/search?q=Zollinger-Ellison%20Syndrome%20clinical%20practice%20guideline%20pathyway", "Launch Live Guideline Search 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2026-09-18T00:25:01Z</dcterms:created>
  <dcterms:modified xmlns:dcterms="http://purl.org/dc/terms/" xmlns:xsi="http://www.w3.org/2001/XMLSchema-instance" xsi:type="dcterms:W3CDTF">2026-09-18T00:25:01Z</dcterms:modified>
</cp:coreProperties>
</file>